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BEA198A-50E5-4230-B136-35C44108C4FE}" xr6:coauthVersionLast="47" xr6:coauthVersionMax="47" xr10:uidLastSave="{00000000-0000-0000-0000-000000000000}"/>
  <bookViews>
    <workbookView xWindow="-108" yWindow="-108" windowWidth="23256" windowHeight="12456" xr2:uid="{7FE873F9-BA2C-4C4E-8D07-F0BC63C8D25E}"/>
  </bookViews>
  <sheets>
    <sheet name="PARAM" sheetId="2" r:id="rId1"/>
    <sheet name="portfolio" sheetId="1" r:id="rId2"/>
    <sheet name="PnL_Calc" sheetId="3" r:id="rId3"/>
    <sheet name="BBG_Greeks" sheetId="4" r:id="rId4"/>
  </sheets>
  <definedNames>
    <definedName name="_xlnm._FilterDatabase" localSheetId="1" hidden="1">portfolio!$A$1:$T$127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5" i="4"/>
  <c r="B6" i="4"/>
  <c r="B7" i="4"/>
  <c r="B8" i="4"/>
  <c r="B9" i="4"/>
  <c r="B10" i="4"/>
  <c r="B11" i="4"/>
  <c r="B12" i="4"/>
  <c r="B13" i="4"/>
  <c r="B14" i="4"/>
  <c r="B15" i="4"/>
  <c r="B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2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2" i="3"/>
  <c r="C3" i="4" a="1"/>
  <c r="C3" i="4" s="1"/>
  <c r="D3" i="4" a="1"/>
  <c r="D3" i="4" s="1"/>
  <c r="E3" i="4" a="1"/>
  <c r="E3" i="4" s="1"/>
  <c r="F3" i="4" a="1"/>
  <c r="F3" i="4" s="1"/>
  <c r="C4" i="4" a="1"/>
  <c r="C4" i="4" s="1"/>
  <c r="D4" i="4" a="1"/>
  <c r="D4" i="4" s="1"/>
  <c r="E4" i="4" a="1"/>
  <c r="E4" i="4" s="1"/>
  <c r="F4" i="4" a="1"/>
  <c r="F4" i="4" s="1"/>
  <c r="C5" i="4" a="1"/>
  <c r="C5" i="4" s="1"/>
  <c r="D5" i="4" a="1"/>
  <c r="D5" i="4" s="1"/>
  <c r="E5" i="4" a="1"/>
  <c r="E5" i="4" s="1"/>
  <c r="F5" i="4" a="1"/>
  <c r="F5" i="4" s="1"/>
  <c r="C6" i="4" a="1"/>
  <c r="C6" i="4" s="1"/>
  <c r="D6" i="4" a="1"/>
  <c r="D6" i="4" s="1"/>
  <c r="E6" i="4" a="1"/>
  <c r="E6" i="4" s="1"/>
  <c r="F6" i="4" a="1"/>
  <c r="F6" i="4" s="1"/>
  <c r="C7" i="4" a="1"/>
  <c r="C7" i="4" s="1"/>
  <c r="D7" i="4" a="1"/>
  <c r="D7" i="4" s="1"/>
  <c r="E7" i="4" a="1"/>
  <c r="E7" i="4" s="1"/>
  <c r="F7" i="4" a="1"/>
  <c r="F7" i="4" s="1"/>
  <c r="C8" i="4" a="1"/>
  <c r="C8" i="4" s="1"/>
  <c r="D8" i="4" a="1"/>
  <c r="D8" i="4" s="1"/>
  <c r="E8" i="4" a="1"/>
  <c r="E8" i="4" s="1"/>
  <c r="F8" i="4" a="1"/>
  <c r="F8" i="4" s="1"/>
  <c r="C9" i="4" a="1"/>
  <c r="C9" i="4" s="1"/>
  <c r="D9" i="4" a="1"/>
  <c r="D9" i="4" s="1"/>
  <c r="E9" i="4" a="1"/>
  <c r="E9" i="4" s="1"/>
  <c r="F9" i="4" a="1"/>
  <c r="F9" i="4" s="1"/>
  <c r="C10" i="4" a="1"/>
  <c r="C10" i="4" s="1"/>
  <c r="D10" i="4" a="1"/>
  <c r="D10" i="4" s="1"/>
  <c r="E10" i="4" a="1"/>
  <c r="E10" i="4" s="1"/>
  <c r="F10" i="4" a="1"/>
  <c r="F10" i="4" s="1"/>
  <c r="C11" i="4" a="1"/>
  <c r="C11" i="4" s="1"/>
  <c r="D11" i="4" a="1"/>
  <c r="D11" i="4" s="1"/>
  <c r="E11" i="4" a="1"/>
  <c r="E11" i="4" s="1"/>
  <c r="F11" i="4" a="1"/>
  <c r="F11" i="4" s="1"/>
  <c r="C12" i="4" a="1"/>
  <c r="C12" i="4" s="1"/>
  <c r="D12" i="4" a="1"/>
  <c r="D12" i="4" s="1"/>
  <c r="E12" i="4" a="1"/>
  <c r="E12" i="4" s="1"/>
  <c r="F12" i="4" a="1"/>
  <c r="F12" i="4" s="1"/>
  <c r="C13" i="4" a="1"/>
  <c r="C13" i="4" s="1"/>
  <c r="D13" i="4" a="1"/>
  <c r="D13" i="4" s="1"/>
  <c r="E13" i="4" a="1"/>
  <c r="E13" i="4" s="1"/>
  <c r="F13" i="4" a="1"/>
  <c r="F13" i="4" s="1"/>
  <c r="C14" i="4" a="1"/>
  <c r="C14" i="4" s="1"/>
  <c r="D14" i="4" a="1"/>
  <c r="D14" i="4" s="1"/>
  <c r="E14" i="4" a="1"/>
  <c r="E14" i="4" s="1"/>
  <c r="F14" i="4" a="1"/>
  <c r="F14" i="4" s="1"/>
  <c r="C15" i="4" a="1"/>
  <c r="C15" i="4" s="1"/>
  <c r="D15" i="4" a="1"/>
  <c r="D15" i="4" s="1"/>
  <c r="E15" i="4" a="1"/>
  <c r="E15" i="4" s="1"/>
  <c r="F15" i="4" a="1"/>
  <c r="F15" i="4" s="1"/>
  <c r="D2" i="4" a="1"/>
  <c r="D2" i="4" s="1"/>
  <c r="E2" i="4" a="1"/>
  <c r="E2" i="4" s="1"/>
  <c r="F2" i="4" a="1"/>
  <c r="F2" i="4" s="1"/>
  <c r="C2" i="4" a="1"/>
  <c r="C2" i="4" s="1"/>
  <c r="D3" i="3" a="1"/>
  <c r="D3" i="3" s="1"/>
  <c r="D4" i="3" a="1"/>
  <c r="D4" i="3" s="1"/>
  <c r="D5" i="3" a="1"/>
  <c r="D5" i="3" s="1"/>
  <c r="D6" i="3" a="1"/>
  <c r="D6" i="3" s="1"/>
  <c r="D7" i="3" a="1"/>
  <c r="D7" i="3" s="1"/>
  <c r="D8" i="3" a="1"/>
  <c r="D8" i="3" s="1"/>
  <c r="D9" i="3" a="1"/>
  <c r="D9" i="3" s="1"/>
  <c r="D10" i="3" a="1"/>
  <c r="D10" i="3" s="1"/>
  <c r="D11" i="3" a="1"/>
  <c r="D11" i="3" s="1"/>
  <c r="D12" i="3" a="1"/>
  <c r="D12" i="3" s="1"/>
  <c r="D13" i="3" a="1"/>
  <c r="D13" i="3" s="1"/>
  <c r="D14" i="3" a="1"/>
  <c r="D14" i="3" s="1"/>
  <c r="D15" i="3" a="1"/>
  <c r="D15" i="3" s="1"/>
  <c r="D2" i="3" a="1"/>
  <c r="D2" i="3" s="1"/>
  <c r="F3" i="3" a="1"/>
  <c r="F3" i="3" s="1"/>
  <c r="F4" i="3" a="1"/>
  <c r="F4" i="3" s="1"/>
  <c r="F5" i="3" a="1"/>
  <c r="F5" i="3" s="1"/>
  <c r="F6" i="3" a="1"/>
  <c r="F6" i="3" s="1"/>
  <c r="F7" i="3" a="1"/>
  <c r="F7" i="3" s="1"/>
  <c r="F8" i="3" a="1"/>
  <c r="F8" i="3" s="1"/>
  <c r="F9" i="3" a="1"/>
  <c r="F9" i="3" s="1"/>
  <c r="F10" i="3" a="1"/>
  <c r="F10" i="3" s="1"/>
  <c r="F11" i="3" a="1"/>
  <c r="F11" i="3" s="1"/>
  <c r="F12" i="3" a="1"/>
  <c r="F12" i="3" s="1"/>
  <c r="F13" i="3" a="1"/>
  <c r="F13" i="3" s="1"/>
  <c r="F14" i="3" a="1"/>
  <c r="F14" i="3" s="1"/>
  <c r="F15" i="3" a="1"/>
  <c r="F15" i="3" s="1"/>
  <c r="F2" i="3" a="1"/>
  <c r="F2" i="3" s="1"/>
  <c r="G2" i="3" l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O1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Anna Nguyen</author>
  </authors>
  <commentList>
    <comment ref="N1" authorId="0" shapeId="0" xr:uid="{D392D5C5-67EF-4C68-9BA9-A10F601887D4}">
      <text>
        <r>
          <rPr>
            <b/>
            <sz val="9"/>
            <color indexed="81"/>
            <rFont val="Tahoma"/>
            <family val="2"/>
          </rPr>
          <t xml:space="preserve">Now using 1M as alternative 
Need update to cash_curve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<sst xmlns="http://schemas.openxmlformats.org/spreadsheetml/2006/main" count="312" uniqueCount="294">
  <si>
    <t>MIFID_UNDERLYING_ASSET_CLASS</t>
  </si>
  <si>
    <t>MIFID_UNDERLYING_DERIVATIVE_TYPE</t>
  </si>
  <si>
    <t>OPT_STRIKE_PX</t>
  </si>
  <si>
    <t>CRNCY</t>
  </si>
  <si>
    <t>PX_LAST</t>
  </si>
  <si>
    <t>SECURITY_TYP2</t>
  </si>
  <si>
    <t>Cash_rate</t>
  </si>
  <si>
    <t>Spot_weight</t>
  </si>
  <si>
    <t>IVOL_MID</t>
  </si>
  <si>
    <t>OPT_PUT_CALL</t>
  </si>
  <si>
    <t>BloombergCode</t>
  </si>
  <si>
    <t>s</t>
  </si>
  <si>
    <t>k</t>
  </si>
  <si>
    <t>r</t>
  </si>
  <si>
    <t>tau</t>
  </si>
  <si>
    <t>TTM</t>
  </si>
  <si>
    <t>sigma</t>
  </si>
  <si>
    <t>Name</t>
  </si>
  <si>
    <t>Category</t>
  </si>
  <si>
    <t>EQY_DVD_YLD_EST</t>
  </si>
  <si>
    <t>OPT_UNDL_PX</t>
  </si>
  <si>
    <t>MIFID_EXPIRY_DATE</t>
  </si>
  <si>
    <t>Undl_fut_px_last</t>
  </si>
  <si>
    <t>Position</t>
  </si>
  <si>
    <t>OPT_UNDL_TICKER/UNDL_SPOT_TICKER</t>
  </si>
  <si>
    <t>CrncyRatio</t>
  </si>
  <si>
    <t>AMZN US 05/15/26 P195 Equity</t>
  </si>
  <si>
    <t>AVGO US 06/18/26 P230 Equity</t>
  </si>
  <si>
    <t>BAC US 12/18/26 C65 Equity</t>
  </si>
  <si>
    <t>BAC US 12/18/26 P42 Equity</t>
  </si>
  <si>
    <t>COF US 09/18/26 C300 Equity</t>
  </si>
  <si>
    <t>COF US 09/18/26 P190 Equity</t>
  </si>
  <si>
    <t>GOOGL US 06/18/26 P220 Equity</t>
  </si>
  <si>
    <t>GOOGL US 06/18/26 P275 Equity</t>
  </si>
  <si>
    <t>GOOGL US 06/18/26 P290 Equity</t>
  </si>
  <si>
    <t>META US 06/18/26 C680 Equity</t>
  </si>
  <si>
    <t>META US 06/18/26 C720 Equity</t>
  </si>
  <si>
    <t>AMZN US 05/15/26 C195 Equity</t>
  </si>
  <si>
    <t>AVGO US 06/18/26 C230 Equity</t>
  </si>
  <si>
    <t>Long Straddle</t>
  </si>
  <si>
    <t>Short Stradle</t>
  </si>
  <si>
    <t xml:space="preserve">Long Strangle </t>
  </si>
  <si>
    <t xml:space="preserve">Short Strangle </t>
  </si>
  <si>
    <t>Strategy</t>
  </si>
  <si>
    <t>Long Butterfly</t>
  </si>
  <si>
    <t>META US 06/18/26 C700 Equity</t>
  </si>
  <si>
    <t>Short Butterfly</t>
  </si>
  <si>
    <t>Date_entry</t>
  </si>
  <si>
    <t>PX_Entry</t>
  </si>
  <si>
    <t>Position_Entry</t>
  </si>
  <si>
    <t>PV_impact</t>
  </si>
  <si>
    <t>DELTA</t>
  </si>
  <si>
    <t>VEGA</t>
  </si>
  <si>
    <t>OPT_THETA</t>
  </si>
  <si>
    <t>GAMMA</t>
  </si>
  <si>
    <t xml:space="preserve">Total </t>
  </si>
  <si>
    <t>=BDP($A2,C$1)</t>
  </si>
  <si>
    <t>=IF(C2'="USD", 1, BDP(C2 &amp; "USD Curncy","PX_LAST"))</t>
  </si>
  <si>
    <t>=BDP($A2,E$1)</t>
  </si>
  <si>
    <t>=IF(E2'="Option", BDP($A2,F$1), "")</t>
  </si>
  <si>
    <t>=IF(
  E2'="Option",
  IFERROR(BDP($A2,"UNDERLYING_SECURITY_DES"),""),
  IF(
    E2'="Future",
    IFERROR(BDP($A2,"UNDL_SPOT_TICKER") &amp;" Index",""),
    ""
  )
)</t>
  </si>
  <si>
    <t>=IF(OR(E2'="Option", E2'="Future"), BDP($A2, H$1), "")</t>
  </si>
  <si>
    <t>=IFERROR(IF(OR(E2'="Option", E2'="Future"), BDP($A2, I$1), ""), "")</t>
  </si>
  <si>
    <t>=IF(E2'="Option", BDP($A2,K$1), 0)</t>
  </si>
  <si>
    <t>=IF(OR(E2'="Option", E2'="Future"),BDP($A2,L$1),"")</t>
  </si>
  <si>
    <t>=IF(E2'="Option",BDP($A2,M$1),0)</t>
  </si>
  <si>
    <t>=(IF($C2'="USD",BDP("TSFR1M Index","PX_LAST"),IF($C2'="EUR",BDP("EESWEA BGN Curncy","PX_LAST"),IF($C2'="HKD",BDP("HIHD01M Index","PX_LAST"),IF($C2'="JPY",BDP("JYSOA Index","PX_LAST"),NA())))))/100</t>
  </si>
  <si>
    <t>=IFERROR((L2-TODAY())/360,0)</t>
  </si>
  <si>
    <t>=IFERROR(IF(AND(I2'="VOLI",O2&lt;&gt;0),0.5/(SQRT(O2/360)+SQRT((O2+30)/360)),""),"")</t>
  </si>
  <si>
    <t>=IFERROR(IF(E2'="Option", (BDP($A2,Q$1))/100, 0),0)</t>
  </si>
  <si>
    <t>=LET(x,BDP($G2,R$1),IFERROR(VALUE(x)/100,0))</t>
  </si>
  <si>
    <t>=IF(E2'="Future", BDP(G2, $T$1), 0)</t>
  </si>
  <si>
    <t>=BDP($A2,T$1)</t>
  </si>
  <si>
    <t>=BDP($A3,C$1)</t>
  </si>
  <si>
    <t>=IF(C3'="USD", 1, BDP(C3 &amp; "USD Curncy","PX_LAST"))</t>
  </si>
  <si>
    <t>=BDP($A3,E$1)</t>
  </si>
  <si>
    <t>=IF(E3'="Option", BDP($A3,F$1), "")</t>
  </si>
  <si>
    <t>=IF(
  E3'="Option",
  IFERROR(BDP($A3,"UNDERLYING_SECURITY_DES"),""),
  IF(
    E3'="Future",
    IFERROR(BDP($A3,"UNDL_SPOT_TICKER") &amp;" Index",""),
    ""
  )
)</t>
  </si>
  <si>
    <t>=IF(OR(E3'="Option", E3'="Future"), BDP($A3, H$1), "")</t>
  </si>
  <si>
    <t>=IFERROR(IF(OR(E3'="Option", E3'="Future"), BDP($A3, I$1), ""), "")</t>
  </si>
  <si>
    <t>=IF(E3'="Option", BDP($A3,K$1), 0)</t>
  </si>
  <si>
    <t>=IF(OR(E3'="Option", E3'="Future"),BDP($A3,L$1),"")</t>
  </si>
  <si>
    <t>=IF(E3'="Option",BDP($A3,M$1),0)</t>
  </si>
  <si>
    <t>=(IF($C3'="USD",BDP("TSFR1M Index","PX_LAST"),IF($C3'="EUR",BDP("EESWEA BGN Curncy","PX_LAST"),IF($C3'="HKD",BDP("HIHD01M Index","PX_LAST"),IF($C3'="JPY",BDP("JYSOA Index","PX_LAST"),NA())))))/100</t>
  </si>
  <si>
    <t>=IFERROR((L3-TODAY())/360,0)</t>
  </si>
  <si>
    <t>=IFERROR(IF(AND(I3'="VOLI",O3&lt;&gt;0),0.5/(SQRT(O3/360)+SQRT((O3+30)/360)),""),"")</t>
  </si>
  <si>
    <t>=IFERROR(IF(E3'="Option", (BDP($A3,Q$1))/100, 0),0)</t>
  </si>
  <si>
    <t>=LET(x,BDP($G3,R$1),IFERROR(VALUE(x)/100,0))</t>
  </si>
  <si>
    <t>=IF(E3'="Future", BDP(G3, $T$1), 0)</t>
  </si>
  <si>
    <t>=BDP($A3,T$1)</t>
  </si>
  <si>
    <t>=BDP($A4,C$1)</t>
  </si>
  <si>
    <t>=IF(C4'="USD", 1, BDP(C4 &amp; "USD Curncy","PX_LAST"))</t>
  </si>
  <si>
    <t>=BDP($A4,E$1)</t>
  </si>
  <si>
    <t>=IF(E4'="Option", BDP($A4,F$1), "")</t>
  </si>
  <si>
    <t>=IF(
  E4'="Option",
  IFERROR(BDP($A4,"UNDERLYING_SECURITY_DES"),""),
  IF(
    E4'="Future",
    IFERROR(BDP($A4,"UNDL_SPOT_TICKER") &amp;" Index",""),
    ""
  )
)</t>
  </si>
  <si>
    <t>=IF(OR(E4'="Option", E4'="Future"), BDP($A4, H$1), "")</t>
  </si>
  <si>
    <t>=IFERROR(IF(OR(E4'="Option", E4'="Future"), BDP($A4, I$1), ""), "")</t>
  </si>
  <si>
    <t>=IF(E4'="Option", BDP($A4,K$1), 0)</t>
  </si>
  <si>
    <t>=IF(OR(E4'="Option", E4'="Future"),BDP($A4,L$1),"")</t>
  </si>
  <si>
    <t>=IF(E4'="Option",BDP($A4,M$1),0)</t>
  </si>
  <si>
    <t>=(IF($C4'="USD",BDP("TSFR1M Index","PX_LAST"),IF($C4'="EUR",BDP("EESWEA BGN Curncy","PX_LAST"),IF($C4'="HKD",BDP("HIHD01M Index","PX_LAST"),IF($C4'="JPY",BDP("JYSOA Index","PX_LAST"),NA())))))/100</t>
  </si>
  <si>
    <t>=IFERROR((L4-TODAY())/360,0)</t>
  </si>
  <si>
    <t>=IFERROR(IF(AND(I4'="VOLI",O4&lt;&gt;0),0.5/(SQRT(O4/360)+SQRT((O4+30)/360)),""),"")</t>
  </si>
  <si>
    <t>=IFERROR(IF(E4'="Option", (BDP($A4,Q$1))/100, 0),0)</t>
  </si>
  <si>
    <t>=LET(x,BDP($G4,R$1),IFERROR(VALUE(x)/100,0))</t>
  </si>
  <si>
    <t>=IF(E4'="Future", BDP(G4, $T$1), 0)</t>
  </si>
  <si>
    <t>=BDP($A4,T$1)</t>
  </si>
  <si>
    <t>=BDP($A5,C$1)</t>
  </si>
  <si>
    <t>=IF(C5'="USD", 1, BDP(C5 &amp; "USD Curncy","PX_LAST"))</t>
  </si>
  <si>
    <t>=BDP($A5,E$1)</t>
  </si>
  <si>
    <t>=IF(E5'="Option", BDP($A5,F$1), "")</t>
  </si>
  <si>
    <t>=IF(
  E5'="Option",
  IFERROR(BDP($A5,"UNDERLYING_SECURITY_DES"),""),
  IF(
    E5'="Future",
    IFERROR(BDP($A5,"UNDL_SPOT_TICKER") &amp;" Index",""),
    ""
  )
)</t>
  </si>
  <si>
    <t>=IF(OR(E5'="Option", E5'="Future"), BDP($A5, H$1), "")</t>
  </si>
  <si>
    <t>=IFERROR(IF(OR(E5'="Option", E5'="Future"), BDP($A5, I$1), ""), "")</t>
  </si>
  <si>
    <t>=IF(E5'="Option", BDP($A5,K$1), 0)</t>
  </si>
  <si>
    <t>=IF(OR(E5'="Option", E5'="Future"),BDP($A5,L$1),"")</t>
  </si>
  <si>
    <t>=IF(E5'="Option",BDP($A5,M$1),0)</t>
  </si>
  <si>
    <t>=(IF($C5'="USD",BDP("TSFR1M Index","PX_LAST"),IF($C5'="EUR",BDP("EESWEA BGN Curncy","PX_LAST"),IF($C5'="HKD",BDP("HIHD01M Index","PX_LAST"),IF($C5'="JPY",BDP("JYSOA Index","PX_LAST"),NA())))))/100</t>
  </si>
  <si>
    <t>=IFERROR((L5-TODAY())/360,0)</t>
  </si>
  <si>
    <t>=IFERROR(IF(AND(I5'="VOLI",O5&lt;&gt;0),0.5/(SQRT(O5/360)+SQRT((O5+30)/360)),""),"")</t>
  </si>
  <si>
    <t>=IFERROR(IF(E5'="Option", (BDP($A5,Q$1))/100, 0),0)</t>
  </si>
  <si>
    <t>=LET(x,BDP($G5,R$1),IFERROR(VALUE(x)/100,0))</t>
  </si>
  <si>
    <t>=IF(E5'="Future", BDP(G5, $T$1), 0)</t>
  </si>
  <si>
    <t>=BDP($A5,T$1)</t>
  </si>
  <si>
    <t>=BDP($A6,C$1)</t>
  </si>
  <si>
    <t>=IF(C6'="USD", 1, BDP(C6 &amp; "USD Curncy","PX_LAST"))</t>
  </si>
  <si>
    <t>=BDP($A6,E$1)</t>
  </si>
  <si>
    <t>=IF(E6'="Option", BDP($A6,F$1), "")</t>
  </si>
  <si>
    <t>=IF(
  E6'="Option",
  IFERROR(BDP($A6,"UNDERLYING_SECURITY_DES"),""),
  IF(
    E6'="Future",
    IFERROR(BDP($A6,"UNDL_SPOT_TICKER") &amp;" Index",""),
    ""
  )
)</t>
  </si>
  <si>
    <t>=IF(OR(E6'="Option", E6'="Future"), BDP($A6, H$1), "")</t>
  </si>
  <si>
    <t>=IFERROR(IF(OR(E6'="Option", E6'="Future"), BDP($A6, I$1), ""), "")</t>
  </si>
  <si>
    <t>=IF(E6'="Option", BDP($A6,K$1), 0)</t>
  </si>
  <si>
    <t>=IF(OR(E6'="Option", E6'="Future"),BDP($A6,L$1),"")</t>
  </si>
  <si>
    <t>=IF(E6'="Option",BDP($A6,M$1),0)</t>
  </si>
  <si>
    <t>=(IF($C6'="USD",BDP("TSFR1M Index","PX_LAST"),IF($C6'="EUR",BDP("EESWEA BGN Curncy","PX_LAST"),IF($C6'="HKD",BDP("HIHD01M Index","PX_LAST"),IF($C6'="JPY",BDP("JYSOA Index","PX_LAST"),NA())))))/100</t>
  </si>
  <si>
    <t>=IFERROR((L6-TODAY())/360,0)</t>
  </si>
  <si>
    <t>=IFERROR(IF(AND(I6'="VOLI",O6&lt;&gt;0),0.5/(SQRT(O6/360)+SQRT((O6+30)/360)),""),"")</t>
  </si>
  <si>
    <t>=IFERROR(IF(E6'="Option", (BDP($A6,Q$1))/100, 0),0)</t>
  </si>
  <si>
    <t>=LET(x,BDP($G6,R$1),IFERROR(VALUE(x)/100,0))</t>
  </si>
  <si>
    <t>=IF(E6'="Future", BDP(G6, $T$1), 0)</t>
  </si>
  <si>
    <t>=BDP($A6,T$1)</t>
  </si>
  <si>
    <t>=BDP($A7,C$1)</t>
  </si>
  <si>
    <t>=IF(C7'="USD", 1, BDP(C7 &amp; "USD Curncy","PX_LAST"))</t>
  </si>
  <si>
    <t>=BDP($A7,E$1)</t>
  </si>
  <si>
    <t>=IF(E7'="Option", BDP($A7,F$1), "")</t>
  </si>
  <si>
    <t>=IF(
  E7'="Option",
  IFERROR(BDP($A7,"UNDERLYING_SECURITY_DES"),""),
  IF(
    E7'="Future",
    IFERROR(BDP($A7,"UNDL_SPOT_TICKER") &amp;" Index",""),
    ""
  )
)</t>
  </si>
  <si>
    <t>=IF(OR(E7'="Option", E7'="Future"), BDP($A7, H$1), "")</t>
  </si>
  <si>
    <t>=IFERROR(IF(OR(E7'="Option", E7'="Future"), BDP($A7, I$1), ""), "")</t>
  </si>
  <si>
    <t>=IF(E7'="Option", BDP($A7,K$1), 0)</t>
  </si>
  <si>
    <t>=IF(OR(E7'="Option", E7'="Future"),BDP($A7,L$1),"")</t>
  </si>
  <si>
    <t>=IF(E7'="Option",BDP($A7,M$1),0)</t>
  </si>
  <si>
    <t>=(IF($C7'="USD",BDP("TSFR1M Index","PX_LAST"),IF($C7'="EUR",BDP("EESWEA BGN Curncy","PX_LAST"),IF($C7'="HKD",BDP("HIHD01M Index","PX_LAST"),IF($C7'="JPY",BDP("JYSOA Index","PX_LAST"),NA())))))/100</t>
  </si>
  <si>
    <t>=IFERROR((L7-TODAY())/360,0)</t>
  </si>
  <si>
    <t>=IFERROR(IF(AND(I7'="VOLI",O7&lt;&gt;0),0.5/(SQRT(O7/360)+SQRT((O7+30)/360)),""),"")</t>
  </si>
  <si>
    <t>=IFERROR(IF(E7'="Option", (BDP($A7,Q$1))/100, 0),0)</t>
  </si>
  <si>
    <t>=LET(x,BDP($G7,R$1),IFERROR(VALUE(x)/100,0))</t>
  </si>
  <si>
    <t>=IF(E7'="Future", BDP(G7, $T$1), 0)</t>
  </si>
  <si>
    <t>=BDP($A7,T$1)</t>
  </si>
  <si>
    <t>=BDP($A8,C$1)</t>
  </si>
  <si>
    <t>=IF(C8'="USD", 1, BDP(C8 &amp; "USD Curncy","PX_LAST"))</t>
  </si>
  <si>
    <t>=BDP($A8,E$1)</t>
  </si>
  <si>
    <t>=IF(E8'="Option", BDP($A8,F$1), "")</t>
  </si>
  <si>
    <t>=IF(
  E8'="Option",
  IFERROR(BDP($A8,"UNDERLYING_SECURITY_DES"),""),
  IF(
    E8'="Future",
    IFERROR(BDP($A8,"UNDL_SPOT_TICKER") &amp;" Index",""),
    ""
  )
)</t>
  </si>
  <si>
    <t>=IF(OR(E8'="Option", E8'="Future"), BDP($A8, H$1), "")</t>
  </si>
  <si>
    <t>=IFERROR(IF(OR(E8'="Option", E8'="Future"), BDP($A8, I$1), ""), "")</t>
  </si>
  <si>
    <t>=IF(E8'="Option", BDP($A8,K$1), 0)</t>
  </si>
  <si>
    <t>=IF(OR(E8'="Option", E8'="Future"),BDP($A8,L$1),"")</t>
  </si>
  <si>
    <t>=IF(E8'="Option",BDP($A8,M$1),0)</t>
  </si>
  <si>
    <t>=(IF($C8'="USD",BDP("TSFR1M Index","PX_LAST"),IF($C8'="EUR",BDP("EESWEA BGN Curncy","PX_LAST"),IF($C8'="HKD",BDP("HIHD01M Index","PX_LAST"),IF($C8'="JPY",BDP("JYSOA Index","PX_LAST"),NA())))))/100</t>
  </si>
  <si>
    <t>=IFERROR((L8-TODAY())/360,0)</t>
  </si>
  <si>
    <t>=IFERROR(IF(AND(I8'="VOLI",O8&lt;&gt;0),0.5/(SQRT(O8/360)+SQRT((O8+30)/360)),""),"")</t>
  </si>
  <si>
    <t>=IFERROR(IF(E8'="Option", (BDP($A8,Q$1))/100, 0),0)</t>
  </si>
  <si>
    <t>=LET(x,BDP($G8,R$1),IFERROR(VALUE(x)/100,0))</t>
  </si>
  <si>
    <t>=IF(E8'="Future", BDP(G8, $T$1), 0)</t>
  </si>
  <si>
    <t>=BDP($A8,T$1)</t>
  </si>
  <si>
    <t>=BDP($A9,C$1)</t>
  </si>
  <si>
    <t>=IF(C9'="USD", 1, BDP(C9 &amp; "USD Curncy","PX_LAST"))</t>
  </si>
  <si>
    <t>=BDP($A9,E$1)</t>
  </si>
  <si>
    <t>=IF(E9'="Option", BDP($A9,F$1), "")</t>
  </si>
  <si>
    <t>=IF(
  E9'="Option",
  IFERROR(BDP($A9,"UNDERLYING_SECURITY_DES"),""),
  IF(
    E9'="Future",
    IFERROR(BDP($A9,"UNDL_SPOT_TICKER") &amp;" Index",""),
    ""
  )
)</t>
  </si>
  <si>
    <t>=IF(OR(E9'="Option", E9'="Future"), BDP($A9, H$1), "")</t>
  </si>
  <si>
    <t>=IFERROR(IF(OR(E9'="Option", E9'="Future"), BDP($A9, I$1), ""), "")</t>
  </si>
  <si>
    <t>=IF(E9'="Option", BDP($A9,K$1), 0)</t>
  </si>
  <si>
    <t>=IF(OR(E9'="Option", E9'="Future"),BDP($A9,L$1),"")</t>
  </si>
  <si>
    <t>=IF(E9'="Option",BDP($A9,M$1),0)</t>
  </si>
  <si>
    <t>=(IF($C9'="USD",BDP("TSFR1M Index","PX_LAST"),IF($C9'="EUR",BDP("EESWEA BGN Curncy","PX_LAST"),IF($C9'="HKD",BDP("HIHD01M Index","PX_LAST"),IF($C9'="JPY",BDP("JYSOA Index","PX_LAST"),NA())))))/100</t>
  </si>
  <si>
    <t>=IFERROR((L9-TODAY())/360,0)</t>
  </si>
  <si>
    <t>=IFERROR(IF(AND(I9'="VOLI",O9&lt;&gt;0),0.5/(SQRT(O9/360)+SQRT((O9+30)/360)),""),"")</t>
  </si>
  <si>
    <t>=IFERROR(IF(E9'="Option", (BDP($A9,Q$1))/100, 0),0)</t>
  </si>
  <si>
    <t>=LET(x,BDP($G9,R$1),IFERROR(VALUE(x)/100,0))</t>
  </si>
  <si>
    <t>=IF(E9'="Future", BDP(G9, $T$1), 0)</t>
  </si>
  <si>
    <t>=BDP($A9,T$1)</t>
  </si>
  <si>
    <t>=BDP($A10,C$1)</t>
  </si>
  <si>
    <t>=IF(C10'="USD", 1, BDP(C10 &amp; "USD Curncy","PX_LAST"))</t>
  </si>
  <si>
    <t>=BDP($A10,E$1)</t>
  </si>
  <si>
    <t>=IF(E10'="Option", BDP($A10,F$1), "")</t>
  </si>
  <si>
    <t>=IF(
  E10'="Option",
  IFERROR(BDP($A10,"UNDERLYING_SECURITY_DES"),""),
  IF(
    E10'="Future",
    IFERROR(BDP($A10,"UNDL_SPOT_TICKER") &amp;" Index",""),
    ""
  )
)</t>
  </si>
  <si>
    <t>=IF(OR(E10'="Option", E10'="Future"), BDP($A10, H$1), "")</t>
  </si>
  <si>
    <t>=IFERROR(IF(OR(E10'="Option", E10'="Future"), BDP($A10, I$1), ""), "")</t>
  </si>
  <si>
    <t>=IF(E10'="Option", BDP($A10,K$1), 0)</t>
  </si>
  <si>
    <t>=IF(OR(E10'="Option", E10'="Future"),BDP($A10,L$1),"")</t>
  </si>
  <si>
    <t>=IF(E10'="Option",BDP($A10,M$1),0)</t>
  </si>
  <si>
    <t>=(IF($C10'="USD",BDP("TSFR1M Index","PX_LAST"),IF($C10'="EUR",BDP("EESWEA BGN Curncy","PX_LAST"),IF($C10'="HKD",BDP("HIHD01M Index","PX_LAST"),IF($C10'="JPY",BDP("JYSOA Index","PX_LAST"),NA())))))/100</t>
  </si>
  <si>
    <t>=IFERROR((L10-TODAY())/360,0)</t>
  </si>
  <si>
    <t>=IFERROR(IF(AND(I10'="VOLI",O10&lt;&gt;0),0.5/(SQRT(O10/360)+SQRT((O10+30)/360)),""),"")</t>
  </si>
  <si>
    <t>=IFERROR(IF(E10'="Option", (BDP($A10,Q$1))/100, 0),0)</t>
  </si>
  <si>
    <t>=LET(x,BDP($G10,R$1),IFERROR(VALUE(x)/100,0))</t>
  </si>
  <si>
    <t>=IF(E10'="Future", BDP(G10, $T$1), 0)</t>
  </si>
  <si>
    <t>=BDP($A10,T$1)</t>
  </si>
  <si>
    <t>=BDP($A11,C$1)</t>
  </si>
  <si>
    <t>=IF(C11'="USD", 1, BDP(C11 &amp; "USD Curncy","PX_LAST"))</t>
  </si>
  <si>
    <t>=BDP($A11,E$1)</t>
  </si>
  <si>
    <t>=IF(E11'="Option", BDP($A11,F$1), "")</t>
  </si>
  <si>
    <t>=IF(
  E11'="Option",
  IFERROR(BDP($A11,"UNDERLYING_SECURITY_DES"),""),
  IF(
    E11'="Future",
    IFERROR(BDP($A11,"UNDL_SPOT_TICKER") &amp;" Index",""),
    ""
  )
)</t>
  </si>
  <si>
    <t>=IF(OR(E11'="Option", E11'="Future"), BDP($A11, H$1), "")</t>
  </si>
  <si>
    <t>=IFERROR(IF(OR(E11'="Option", E11'="Future"), BDP($A11, I$1), ""), "")</t>
  </si>
  <si>
    <t>=IF(E11'="Option", BDP($A11,K$1), 0)</t>
  </si>
  <si>
    <t>=IF(OR(E11'="Option", E11'="Future"),BDP($A11,L$1),"")</t>
  </si>
  <si>
    <t>=IF(E11'="Option",BDP($A11,M$1),0)</t>
  </si>
  <si>
    <t>=(IF($C11'="USD",BDP("TSFR1M Index","PX_LAST"),IF($C11'="EUR",BDP("EESWEA BGN Curncy","PX_LAST"),IF($C11'="HKD",BDP("HIHD01M Index","PX_LAST"),IF($C11'="JPY",BDP("JYSOA Index","PX_LAST"),NA())))))/100</t>
  </si>
  <si>
    <t>=IFERROR((L11-TODAY())/360,0)</t>
  </si>
  <si>
    <t>=IFERROR(IF(AND(I11'="VOLI",O11&lt;&gt;0),0.5/(SQRT(O11/360)+SQRT((O11+30)/360)),""),"")</t>
  </si>
  <si>
    <t>=IFERROR(IF(E11'="Option", (BDP($A11,Q$1))/100, 0),0)</t>
  </si>
  <si>
    <t>=LET(x,BDP($G11,R$1),IFERROR(VALUE(x)/100,0))</t>
  </si>
  <si>
    <t>=IF(E11'="Future", BDP(G11, $T$1), 0)</t>
  </si>
  <si>
    <t>=BDP($A11,T$1)</t>
  </si>
  <si>
    <t>=BDP($A12,C$1)</t>
  </si>
  <si>
    <t>=IF(C12'="USD", 1, BDP(C12 &amp; "USD Curncy","PX_LAST"))</t>
  </si>
  <si>
    <t>=BDP($A12,E$1)</t>
  </si>
  <si>
    <t>=IF(E12'="Option", BDP($A12,F$1), "")</t>
  </si>
  <si>
    <t>=IF(
  E12'="Option",
  IFERROR(BDP($A12,"UNDERLYING_SECURITY_DES"),""),
  IF(
    E12'="Future",
    IFERROR(BDP($A12,"UNDL_SPOT_TICKER") &amp;" Index",""),
    ""
  )
)</t>
  </si>
  <si>
    <t>=IF(OR(E12'="Option", E12'="Future"), BDP($A12, H$1), "")</t>
  </si>
  <si>
    <t>=IFERROR(IF(OR(E12'="Option", E12'="Future"), BDP($A12, I$1), ""), "")</t>
  </si>
  <si>
    <t>=IF(E12'="Option", BDP($A12,K$1), 0)</t>
  </si>
  <si>
    <t>=IF(OR(E12'="Option", E12'="Future"),BDP($A12,L$1),"")</t>
  </si>
  <si>
    <t>=IF(E12'="Option",BDP($A12,M$1),0)</t>
  </si>
  <si>
    <t>=(IF($C12'="USD",BDP("TSFR1M Index","PX_LAST"),IF($C12'="EUR",BDP("EESWEA BGN Curncy","PX_LAST"),IF($C12'="HKD",BDP("HIHD01M Index","PX_LAST"),IF($C12'="JPY",BDP("JYSOA Index","PX_LAST"),NA())))))/100</t>
  </si>
  <si>
    <t>=IFERROR((L12-TODAY())/360,0)</t>
  </si>
  <si>
    <t>=IFERROR(IF(AND(I12'="VOLI",O12&lt;&gt;0),0.5/(SQRT(O12/360)+SQRT((O12+30)/360)),""),"")</t>
  </si>
  <si>
    <t>=IFERROR(IF(E12'="Option", (BDP($A12,Q$1))/100, 0),0)</t>
  </si>
  <si>
    <t>=LET(x,BDP($G12,R$1),IFERROR(VALUE(x)/100,0))</t>
  </si>
  <si>
    <t>=IF(E12'="Future", BDP(G12, $T$1), 0)</t>
  </si>
  <si>
    <t>=BDP($A12,T$1)</t>
  </si>
  <si>
    <t>=BDP($A13,C$1)</t>
  </si>
  <si>
    <t>=IF(C13'="USD", 1, BDP(C13 &amp; "USD Curncy","PX_LAST"))</t>
  </si>
  <si>
    <t>=BDP($A13,E$1)</t>
  </si>
  <si>
    <t>=IF(E13'="Option", BDP($A13,F$1), "")</t>
  </si>
  <si>
    <t>=IF(
  E13'="Option",
  IFERROR(BDP($A13,"UNDERLYING_SECURITY_DES"),""),
  IF(
    E13'="Future",
    IFERROR(BDP($A13,"UNDL_SPOT_TICKER") &amp;" Index",""),
    ""
  )
)</t>
  </si>
  <si>
    <t>=IF(OR(E13'="Option", E13'="Future"), BDP($A13, H$1), "")</t>
  </si>
  <si>
    <t>=IFERROR(IF(OR(E13'="Option", E13'="Future"), BDP($A13, I$1), ""), "")</t>
  </si>
  <si>
    <t>=IF(E13'="Option", BDP($A13,K$1), 0)</t>
  </si>
  <si>
    <t>=IF(OR(E13'="Option", E13'="Future"),BDP($A13,L$1),"")</t>
  </si>
  <si>
    <t>=IF(E13'="Option",BDP($A13,M$1),0)</t>
  </si>
  <si>
    <t>=(IF($C13'="USD",BDP("TSFR1M Index","PX_LAST"),IF($C13'="EUR",BDP("EESWEA BGN Curncy","PX_LAST"),IF($C13'="HKD",BDP("HIHD01M Index","PX_LAST"),IF($C13'="JPY",BDP("JYSOA Index","PX_LAST"),NA())))))/100</t>
  </si>
  <si>
    <t>=IFERROR((L13-TODAY())/360,0)</t>
  </si>
  <si>
    <t>=IFERROR(IF(AND(I13'="VOLI",O13&lt;&gt;0),0.5/(SQRT(O13/360)+SQRT((O13+30)/360)),""),"")</t>
  </si>
  <si>
    <t>=IFERROR(IF(E13'="Option", (BDP($A13,Q$1))/100, 0),0)</t>
  </si>
  <si>
    <t>=LET(x,BDP($G13,R$1),IFERROR(VALUE(x)/100,0))</t>
  </si>
  <si>
    <t>=IF(E13'="Future", BDP(G13, $T$1), 0)</t>
  </si>
  <si>
    <t>=BDP($A13,T$1)</t>
  </si>
  <si>
    <t>=BDP($A14,C$1)</t>
  </si>
  <si>
    <t>=IF(C14'="USD", 1, BDP(C14 &amp; "USD Curncy","PX_LAST"))</t>
  </si>
  <si>
    <t>=BDP($A14,E$1)</t>
  </si>
  <si>
    <t>=IF(E14'="Option", BDP($A14,F$1), "")</t>
  </si>
  <si>
    <t>=IF(
  E14'="Option",
  IFERROR(BDP($A14,"UNDERLYING_SECURITY_DES"),""),
  IF(
    E14'="Future",
    IFERROR(BDP($A14,"UNDL_SPOT_TICKER") &amp;" Index",""),
    ""
  )
)</t>
  </si>
  <si>
    <t>=IF(OR(E14'="Option", E14'="Future"), BDP($A14, H$1), "")</t>
  </si>
  <si>
    <t>=IFERROR(IF(OR(E14'="Option", E14'="Future"), BDP($A14, I$1), ""), "")</t>
  </si>
  <si>
    <t>=IF(E14'="Option", BDP($A14,K$1), 0)</t>
  </si>
  <si>
    <t>=IF(OR(E14'="Option", E14'="Future"),BDP($A14,L$1),"")</t>
  </si>
  <si>
    <t>=IF(E14'="Option",BDP($A14,M$1),0)</t>
  </si>
  <si>
    <t>=(IF($C14'="USD",BDP("TSFR1M Index","PX_LAST"),IF($C14'="EUR",BDP("EESWEA BGN Curncy","PX_LAST"),IF($C14'="HKD",BDP("HIHD01M Index","PX_LAST"),IF($C14'="JPY",BDP("JYSOA Index","PX_LAST"),NA())))))/100</t>
  </si>
  <si>
    <t>=IFERROR((L14-TODAY())/360,0)</t>
  </si>
  <si>
    <t>=IFERROR(IF(AND(I14'="VOLI",O14&lt;&gt;0),0.5/(SQRT(O14/360)+SQRT((O14+30)/360)),""),"")</t>
  </si>
  <si>
    <t>=IFERROR(IF(E14'="Option", (BDP($A14,Q$1))/100, 0),0)</t>
  </si>
  <si>
    <t>=LET(x,BDP($G14,R$1),IFERROR(VALUE(x)/100,0))</t>
  </si>
  <si>
    <t>=IF(E14'="Future", BDP(G14, $T$1), 0)</t>
  </si>
  <si>
    <t>=BDP($A14,T$1)</t>
  </si>
  <si>
    <t>=BDP($A15,C$1)</t>
  </si>
  <si>
    <t>=IF(C15'="USD", 1, BDP(C15 &amp; "USD Curncy","PX_LAST"))</t>
  </si>
  <si>
    <t>=BDP($A15,E$1)</t>
  </si>
  <si>
    <t>=IF(E15'="Option", BDP($A15,F$1), "")</t>
  </si>
  <si>
    <t>=IF(
  E15'="Option",
  IFERROR(BDP($A15,"UNDERLYING_SECURITY_DES"),""),
  IF(
    E15'="Future",
    IFERROR(BDP($A15,"UNDL_SPOT_TICKER") &amp;" Index",""),
    ""
  )
)</t>
  </si>
  <si>
    <t>=IF(OR(E15'="Option", E15'="Future"), BDP($A15, H$1), "")</t>
  </si>
  <si>
    <t>=IFERROR(IF(OR(E15'="Option", E15'="Future"), BDP($A15, I$1), ""), "")</t>
  </si>
  <si>
    <t>=IF(E15'="Option", BDP($A15,K$1), 0)</t>
  </si>
  <si>
    <t>=IF(OR(E15'="Option", E15'="Future"),BDP($A15,L$1),"")</t>
  </si>
  <si>
    <t>=IF(E15'="Option",BDP($A15,M$1),0)</t>
  </si>
  <si>
    <t>=(IF($C15'="USD",BDP("TSFR1M Index","PX_LAST"),IF($C15'="EUR",BDP("EESWEA BGN Curncy","PX_LAST"),IF($C15'="HKD",BDP("HIHD01M Index","PX_LAST"),IF($C15'="JPY",BDP("JYSOA Index","PX_LAST"),NA())))))/100</t>
  </si>
  <si>
    <t>=IFERROR((L15-TODAY())/360,0)</t>
  </si>
  <si>
    <t>=IFERROR(IF(AND(I15'="VOLI",O15&lt;&gt;0),0.5/(SQRT(O15/360)+SQRT((O15+30)/360)),""),"")</t>
  </si>
  <si>
    <t>=IFERROR(IF(E15'="Option", (BDP($A15,Q$1))/100, 0),0)</t>
  </si>
  <si>
    <t>=LET(x,BDP($G15,R$1),IFERROR(VALUE(x)/100,0))</t>
  </si>
  <si>
    <t>=IF(E15'="Future", BDP(G15, $T$1), 0)</t>
  </si>
  <si>
    <t>=BDP($A15,T$1)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</si>
</sst>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8">
    <xf numFmtId="0" fontId="0" fillId="0" borderId="0" xfId="0"/>
    <xf numFmtId="14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 vertical="top"/>
    </xf>
    <xf numFmtId="0" fontId="0" fillId="0" borderId="0" xfId="0" applyAlignment="1">
      <alignment wrapText="1"/>
    </xf>
    <xf numFmtId="2" fontId="0" fillId="0" borderId="0" xfId="0" applyNumberFormat="1"/>
    <xf numFmtId="0" fontId="0" fillId="2" borderId="0" xfId="0" applyFill="1"/>
    <xf numFmtId="0" fontId="4" fillId="0" borderId="1" xfId="0" applyFont="1" applyBorder="1" applyAlignment="1">
      <alignment horizontal="center" vertical="top"/>
    </xf>
    <xf numFmtId="10" fontId="0" fillId="0" borderId="0" xfId="1" applyNumberFormat="1" applyFont="1" applyFill="1"/>
    <xf numFmtId="164" fontId="0" fillId="0" borderId="0" xfId="1" applyNumberFormat="1" applyFont="1" applyFill="1"/>
    <xf numFmtId="14" fontId="0" fillId="0" borderId="0" xfId="0" applyNumberFormat="1"/>
    <xf numFmtId="0" fontId="4" fillId="0" borderId="0" xfId="0" applyFont="1" applyAlignment="1">
      <alignment horizontal="center" vertical="top"/>
    </xf>
    <xf numFmtId="0" fontId="0" fillId="0" borderId="0" xfId="0" quotePrefix="1"/>
    <xf numFmtId="2" fontId="0" fillId="0" borderId="0" xfId="0" quotePrefix="1" applyNumberFormat="1"/>
    <xf numFmtId="0" fontId="0" fillId="0" borderId="0" xfId="0" quotePrefix="1" applyAlignment="1">
      <alignment wrapText="1"/>
    </xf>
    <xf numFmtId="10" fontId="0" fillId="0" borderId="0" xfId="1" quotePrefix="1" applyNumberFormat="1" applyFont="1"/>
    <xf numFmtId="164" fontId="0" fillId="0" borderId="0" xfId="1" quotePrefix="1" applyNumberFormat="1" applyFont="1"/>
    <xf numFmtId="0" fontId="0" fillId="0" borderId="0" xfId="0" quotePrefix="1" applyAlignment="1"/>
  </cellXfs>
  <cellStyles count="2">
    <cellStyle name="Normal" xfId="0" builtinId="0"/>
    <cellStyle name="Percent" xfId="1" builtinId="5"/>
  </cellStyles>
  <dxfs count="1">
    <dxf>
      <fill>
        <patternFill patternType="solid"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B75F-9366-499B-8834-2F9558BF1D8D}">
  <dimension ref="A1:B6"/>
  <sheetViews>
    <sheetView tabSelected="1" workbookViewId="0">
      <selection activeCell="E23" sqref="E23"/>
    </sheetView>
  </sheetViews>
  <sheetFormatPr defaultRowHeight="14.4" x14ac:dyDescent="0.3"/>
  <cols>
    <col min="1" max="1" width="12.88671875" customWidth="1"/>
    <col min="2" max="2" width="14.5546875" bestFit="1" customWidth="1"/>
  </cols>
  <sheetData>
    <row r="1" spans="1:2" x14ac:dyDescent="0.3">
      <c r="A1" s="2" t="s">
        <v>17</v>
      </c>
      <c r="B1" s="2" t="s">
        <v>18</v>
      </c>
    </row>
    <row r="2" spans="1:2" x14ac:dyDescent="0.3">
      <c r="A2" t="s">
        <v>11</v>
      </c>
      <c r="B2" t="s">
        <v>4</v>
      </c>
    </row>
    <row r="3" spans="1:2" x14ac:dyDescent="0.3">
      <c r="A3" t="s">
        <v>12</v>
      </c>
      <c r="B3" t="s">
        <v>2</v>
      </c>
    </row>
    <row r="4" spans="1:2" x14ac:dyDescent="0.3">
      <c r="A4" t="s">
        <v>13</v>
      </c>
      <c r="B4" t="s">
        <v>6</v>
      </c>
    </row>
    <row r="5" spans="1:2" x14ac:dyDescent="0.3">
      <c r="A5" t="s">
        <v>14</v>
      </c>
      <c r="B5" t="s">
        <v>15</v>
      </c>
    </row>
    <row r="6" spans="1:2" x14ac:dyDescent="0.3">
      <c r="A6" t="s">
        <v>16</v>
      </c>
      <c r="B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85D65-54AD-4517-A08B-550AF7EB4943}">
  <dimension ref="A1:U127"/>
  <sheetViews>
    <sheetView zoomScale="93" zoomScaleNormal="93" workbookViewId="0">
      <selection activeCell="G2" sqref="G2"/>
    </sheetView>
  </sheetViews>
  <sheetFormatPr defaultRowHeight="14.4" x14ac:dyDescent="0.3"/>
  <cols>
    <col min="1" max="1" width="28.6640625" bestFit="1" customWidth="1"/>
    <col min="2" max="2" width="12.88671875" bestFit="1" customWidth="1"/>
    <col min="3" max="3" width="7.6640625" bestFit="1" customWidth="1"/>
    <col min="4" max="4" width="24.21875" bestFit="1" customWidth="1"/>
    <col min="5" max="5" width="14.77734375" bestFit="1" customWidth="1"/>
    <col min="6" max="6" width="16.21875" bestFit="1" customWidth="1"/>
    <col min="7" max="7" width="38.88671875" customWidth="1"/>
    <col min="8" max="8" width="24.5546875" bestFit="1" customWidth="1"/>
    <col min="9" max="9" width="29.5546875" bestFit="1" customWidth="1"/>
    <col min="10" max="10" width="4" bestFit="1" customWidth="1"/>
    <col min="11" max="11" width="16.109375" bestFit="1" customWidth="1"/>
    <col min="12" max="12" width="23.77734375" bestFit="1" customWidth="1"/>
    <col min="13" max="13" width="16" bestFit="1" customWidth="1"/>
    <col min="14" max="14" width="91.21875" bestFit="1" customWidth="1"/>
    <col min="15" max="15" width="14" bestFit="1" customWidth="1"/>
    <col min="16" max="16" width="37.77734375" bestFit="1" customWidth="1"/>
    <col min="17" max="17" width="23.88671875" bestFit="1" customWidth="1"/>
    <col min="18" max="18" width="21.5546875" bestFit="1" customWidth="1"/>
    <col min="19" max="19" width="16.109375" bestFit="1" customWidth="1"/>
    <col min="20" max="20" width="7.44140625" bestFit="1" customWidth="1"/>
  </cols>
  <sheetData>
    <row r="1" spans="1:21" x14ac:dyDescent="0.3">
      <c r="A1" s="1" t="s">
        <v>10</v>
      </c>
      <c r="B1" s="1" t="s">
        <v>43</v>
      </c>
      <c r="C1" s="3" t="s">
        <v>3</v>
      </c>
      <c r="D1" s="3" t="s">
        <v>25</v>
      </c>
      <c r="E1" s="2" t="s">
        <v>5</v>
      </c>
      <c r="F1" s="2" t="s">
        <v>9</v>
      </c>
      <c r="G1" s="2" t="s">
        <v>24</v>
      </c>
      <c r="H1" s="3" t="s">
        <v>0</v>
      </c>
      <c r="I1" s="2" t="s">
        <v>1</v>
      </c>
      <c r="J1" s="7" t="s">
        <v>23</v>
      </c>
      <c r="K1" s="2" t="s">
        <v>2</v>
      </c>
      <c r="L1" s="2" t="s">
        <v>21</v>
      </c>
      <c r="M1" s="2" t="s">
        <v>20</v>
      </c>
      <c r="N1" s="2" t="s">
        <v>6</v>
      </c>
      <c r="O1" s="2" t="s">
        <v>15</v>
      </c>
      <c r="P1" s="2" t="s">
        <v>7</v>
      </c>
      <c r="Q1" s="2" t="s">
        <v>8</v>
      </c>
      <c r="R1" s="2" t="s">
        <v>19</v>
      </c>
      <c r="S1" s="2" t="s">
        <v>22</v>
      </c>
      <c r="T1" s="2" t="s">
        <v>4</v>
      </c>
      <c r="U1" s="2"/>
    </row>
    <row r="2" spans="1:21" ht="28.8" x14ac:dyDescent="0.3">
      <c r="A2" s="6" t="s">
        <v>26</v>
      </c>
      <c r="B2" t="s">
        <v>39</v>
      </c>
      <c r="C2" s="12" t="s">
        <v>56</v>
      </c>
      <c r="D2" s="13" t="s">
        <v>57</v>
      </c>
      <c r="E2" s="12" t="s">
        <v>58</v>
      </c>
      <c r="F2" s="12" t="s">
        <v>59</v>
      </c>
      <c r="G2" s="17" t="s">
        <v>60</v>
      </c>
      <c r="H2" s="12" t="s">
        <v>61</v>
      </c>
      <c r="I2" s="14" t="s">
        <v>62</v>
      </c>
      <c r="J2" s="6">
        <v>100</v>
      </c>
      <c r="K2" s="12" t="s">
        <v>63</v>
      </c>
      <c r="L2" s="12" t="s">
        <v>64</v>
      </c>
      <c r="M2" s="12" t="s">
        <v>65</v>
      </c>
      <c r="N2" s="15" t="s">
        <v>66</v>
      </c>
      <c r="O2" s="16" t="s">
        <v>67</v>
      </c>
      <c r="P2" s="13" t="s">
        <v>68</v>
      </c>
      <c r="Q2" s="13" t="s">
        <v>69</v>
      </c>
      <c r="R2" s="15" t="s">
        <v>70</v>
      </c>
      <c r="S2" s="12" t="s">
        <v>71</v>
      </c>
      <c r="T2" s="12" t="s">
        <v>72</v>
      </c>
    </row>
    <row r="3" spans="1:21" ht="28.8" x14ac:dyDescent="0.3">
      <c r="A3" s="6" t="s">
        <v>37</v>
      </c>
      <c r="B3" t="s">
        <v>39</v>
      </c>
      <c r="C3" s="12" t="s">
        <v>73</v>
      </c>
      <c r="D3" s="13" t="s">
        <v>74</v>
      </c>
      <c r="E3" s="12" t="s">
        <v>75</v>
      </c>
      <c r="F3" s="12" t="s">
        <v>76</v>
      </c>
      <c r="G3" s="17" t="s">
        <v>77</v>
      </c>
      <c r="H3" s="12" t="s">
        <v>78</v>
      </c>
      <c r="I3" s="14" t="s">
        <v>79</v>
      </c>
      <c r="J3" s="6">
        <v>100</v>
      </c>
      <c r="K3" s="12" t="s">
        <v>80</v>
      </c>
      <c r="L3" s="12" t="s">
        <v>81</v>
      </c>
      <c r="M3" s="12" t="s">
        <v>82</v>
      </c>
      <c r="N3" s="15" t="s">
        <v>83</v>
      </c>
      <c r="O3" s="16" t="s">
        <v>84</v>
      </c>
      <c r="P3" s="13" t="s">
        <v>85</v>
      </c>
      <c r="Q3" s="13" t="s">
        <v>86</v>
      </c>
      <c r="R3" s="15" t="s">
        <v>87</v>
      </c>
      <c r="S3" s="12" t="s">
        <v>88</v>
      </c>
      <c r="T3" s="12" t="s">
        <v>89</v>
      </c>
    </row>
    <row r="4" spans="1:21" ht="28.8" x14ac:dyDescent="0.3">
      <c r="A4" s="6" t="s">
        <v>38</v>
      </c>
      <c r="B4" t="s">
        <v>40</v>
      </c>
      <c r="C4" s="12" t="s">
        <v>90</v>
      </c>
      <c r="D4" s="13" t="s">
        <v>91</v>
      </c>
      <c r="E4" s="12" t="s">
        <v>92</v>
      </c>
      <c r="F4" s="12" t="s">
        <v>93</v>
      </c>
      <c r="G4" s="17" t="s">
        <v>94</v>
      </c>
      <c r="H4" s="12" t="s">
        <v>95</v>
      </c>
      <c r="I4" s="14" t="s">
        <v>96</v>
      </c>
      <c r="J4" s="6">
        <v>-200</v>
      </c>
      <c r="K4" s="12" t="s">
        <v>97</v>
      </c>
      <c r="L4" s="12" t="s">
        <v>98</v>
      </c>
      <c r="M4" s="12" t="s">
        <v>99</v>
      </c>
      <c r="N4" s="15" t="s">
        <v>100</v>
      </c>
      <c r="O4" s="16" t="s">
        <v>101</v>
      </c>
      <c r="P4" s="13" t="s">
        <v>102</v>
      </c>
      <c r="Q4" s="13" t="s">
        <v>103</v>
      </c>
      <c r="R4" s="15" t="s">
        <v>104</v>
      </c>
      <c r="S4" s="12" t="s">
        <v>105</v>
      </c>
      <c r="T4" s="12" t="s">
        <v>106</v>
      </c>
    </row>
    <row r="5" spans="1:21" ht="28.8" x14ac:dyDescent="0.3">
      <c r="A5" s="6" t="s">
        <v>27</v>
      </c>
      <c r="B5" t="s">
        <v>40</v>
      </c>
      <c r="C5" s="12" t="s">
        <v>107</v>
      </c>
      <c r="D5" s="13" t="s">
        <v>108</v>
      </c>
      <c r="E5" s="12" t="s">
        <v>109</v>
      </c>
      <c r="F5" s="12" t="s">
        <v>110</v>
      </c>
      <c r="G5" s="17" t="s">
        <v>111</v>
      </c>
      <c r="H5" s="12" t="s">
        <v>112</v>
      </c>
      <c r="I5" s="14" t="s">
        <v>113</v>
      </c>
      <c r="J5" s="6">
        <v>-100</v>
      </c>
      <c r="K5" s="12" t="s">
        <v>114</v>
      </c>
      <c r="L5" s="12" t="s">
        <v>115</v>
      </c>
      <c r="M5" s="12" t="s">
        <v>116</v>
      </c>
      <c r="N5" s="15" t="s">
        <v>117</v>
      </c>
      <c r="O5" s="16" t="s">
        <v>118</v>
      </c>
      <c r="P5" s="13" t="s">
        <v>119</v>
      </c>
      <c r="Q5" s="13" t="s">
        <v>120</v>
      </c>
      <c r="R5" s="15" t="s">
        <v>121</v>
      </c>
      <c r="S5" s="12" t="s">
        <v>122</v>
      </c>
      <c r="T5" s="12" t="s">
        <v>123</v>
      </c>
    </row>
    <row r="6" spans="1:21" ht="28.8" x14ac:dyDescent="0.3">
      <c r="A6" s="6" t="s">
        <v>29</v>
      </c>
      <c r="B6" t="s">
        <v>41</v>
      </c>
      <c r="C6" s="12" t="s">
        <v>124</v>
      </c>
      <c r="D6" s="13" t="s">
        <v>125</v>
      </c>
      <c r="E6" s="12" t="s">
        <v>126</v>
      </c>
      <c r="F6" s="12" t="s">
        <v>127</v>
      </c>
      <c r="G6" s="17" t="s">
        <v>128</v>
      </c>
      <c r="H6" s="12" t="s">
        <v>129</v>
      </c>
      <c r="I6" s="14" t="s">
        <v>130</v>
      </c>
      <c r="J6" s="6">
        <v>150</v>
      </c>
      <c r="K6" s="12" t="s">
        <v>131</v>
      </c>
      <c r="L6" s="12" t="s">
        <v>132</v>
      </c>
      <c r="M6" s="12" t="s">
        <v>133</v>
      </c>
      <c r="N6" s="15" t="s">
        <v>134</v>
      </c>
      <c r="O6" s="16" t="s">
        <v>135</v>
      </c>
      <c r="P6" s="13" t="s">
        <v>136</v>
      </c>
      <c r="Q6" s="13" t="s">
        <v>137</v>
      </c>
      <c r="R6" s="15" t="s">
        <v>138</v>
      </c>
      <c r="S6" s="12" t="s">
        <v>139</v>
      </c>
      <c r="T6" s="12" t="s">
        <v>140</v>
      </c>
    </row>
    <row r="7" spans="1:21" ht="28.8" x14ac:dyDescent="0.3">
      <c r="A7" s="6" t="s">
        <v>28</v>
      </c>
      <c r="B7" t="s">
        <v>41</v>
      </c>
      <c r="C7" s="12" t="s">
        <v>141</v>
      </c>
      <c r="D7" s="13" t="s">
        <v>142</v>
      </c>
      <c r="E7" s="12" t="s">
        <v>143</v>
      </c>
      <c r="F7" s="12" t="s">
        <v>144</v>
      </c>
      <c r="G7" s="17" t="s">
        <v>145</v>
      </c>
      <c r="H7" s="12" t="s">
        <v>146</v>
      </c>
      <c r="I7" s="14" t="s">
        <v>147</v>
      </c>
      <c r="J7" s="6">
        <v>150</v>
      </c>
      <c r="K7" s="12" t="s">
        <v>148</v>
      </c>
      <c r="L7" s="12" t="s">
        <v>149</v>
      </c>
      <c r="M7" s="12" t="s">
        <v>150</v>
      </c>
      <c r="N7" s="15" t="s">
        <v>151</v>
      </c>
      <c r="O7" s="16" t="s">
        <v>152</v>
      </c>
      <c r="P7" s="13" t="s">
        <v>153</v>
      </c>
      <c r="Q7" s="13" t="s">
        <v>154</v>
      </c>
      <c r="R7" s="15" t="s">
        <v>155</v>
      </c>
      <c r="S7" s="12" t="s">
        <v>156</v>
      </c>
      <c r="T7" s="12" t="s">
        <v>157</v>
      </c>
    </row>
    <row r="8" spans="1:21" ht="28.8" x14ac:dyDescent="0.3">
      <c r="A8" s="6" t="s">
        <v>30</v>
      </c>
      <c r="B8" t="s">
        <v>42</v>
      </c>
      <c r="C8" s="12" t="s">
        <v>158</v>
      </c>
      <c r="D8" s="13" t="s">
        <v>159</v>
      </c>
      <c r="E8" s="12" t="s">
        <v>160</v>
      </c>
      <c r="F8" s="12" t="s">
        <v>161</v>
      </c>
      <c r="G8" s="17" t="s">
        <v>162</v>
      </c>
      <c r="H8" s="12" t="s">
        <v>163</v>
      </c>
      <c r="I8" s="14" t="s">
        <v>164</v>
      </c>
      <c r="J8" s="6">
        <v>-200</v>
      </c>
      <c r="K8" s="12" t="s">
        <v>165</v>
      </c>
      <c r="L8" s="12" t="s">
        <v>166</v>
      </c>
      <c r="M8" s="12" t="s">
        <v>167</v>
      </c>
      <c r="N8" s="15" t="s">
        <v>168</v>
      </c>
      <c r="O8" s="16" t="s">
        <v>169</v>
      </c>
      <c r="P8" s="13" t="s">
        <v>170</v>
      </c>
      <c r="Q8" s="13" t="s">
        <v>171</v>
      </c>
      <c r="R8" s="15" t="s">
        <v>172</v>
      </c>
      <c r="S8" s="12" t="s">
        <v>173</v>
      </c>
      <c r="T8" s="12" t="s">
        <v>174</v>
      </c>
    </row>
    <row r="9" spans="1:21" ht="28.8" x14ac:dyDescent="0.3">
      <c r="A9" s="6" t="s">
        <v>31</v>
      </c>
      <c r="B9" t="s">
        <v>42</v>
      </c>
      <c r="C9" s="12" t="s">
        <v>175</v>
      </c>
      <c r="D9" s="13" t="s">
        <v>176</v>
      </c>
      <c r="E9" s="12" t="s">
        <v>177</v>
      </c>
      <c r="F9" s="12" t="s">
        <v>178</v>
      </c>
      <c r="G9" s="17" t="s">
        <v>179</v>
      </c>
      <c r="H9" s="12" t="s">
        <v>180</v>
      </c>
      <c r="I9" s="14" t="s">
        <v>181</v>
      </c>
      <c r="J9" s="6">
        <v>-200</v>
      </c>
      <c r="K9" s="12" t="s">
        <v>182</v>
      </c>
      <c r="L9" s="12" t="s">
        <v>183</v>
      </c>
      <c r="M9" s="12" t="s">
        <v>184</v>
      </c>
      <c r="N9" s="15" t="s">
        <v>185</v>
      </c>
      <c r="O9" s="16" t="s">
        <v>186</v>
      </c>
      <c r="P9" s="13" t="s">
        <v>187</v>
      </c>
      <c r="Q9" s="13" t="s">
        <v>188</v>
      </c>
      <c r="R9" s="15" t="s">
        <v>189</v>
      </c>
      <c r="S9" s="12" t="s">
        <v>190</v>
      </c>
      <c r="T9" s="12" t="s">
        <v>191</v>
      </c>
    </row>
    <row r="10" spans="1:21" ht="43.2" x14ac:dyDescent="0.3">
      <c r="A10" s="6" t="s">
        <v>32</v>
      </c>
      <c r="B10" t="s">
        <v>44</v>
      </c>
      <c r="C10" s="12" t="s">
        <v>192</v>
      </c>
      <c r="D10" s="13" t="s">
        <v>193</v>
      </c>
      <c r="E10" s="12" t="s">
        <v>194</v>
      </c>
      <c r="F10" s="12" t="s">
        <v>195</v>
      </c>
      <c r="G10" s="17" t="s">
        <v>196</v>
      </c>
      <c r="H10" s="12" t="s">
        <v>197</v>
      </c>
      <c r="I10" s="14" t="s">
        <v>198</v>
      </c>
      <c r="J10" s="6">
        <v>100</v>
      </c>
      <c r="K10" s="12" t="s">
        <v>199</v>
      </c>
      <c r="L10" s="12" t="s">
        <v>200</v>
      </c>
      <c r="M10" s="12" t="s">
        <v>201</v>
      </c>
      <c r="N10" s="15" t="s">
        <v>202</v>
      </c>
      <c r="O10" s="16" t="s">
        <v>203</v>
      </c>
      <c r="P10" s="13" t="s">
        <v>204</v>
      </c>
      <c r="Q10" s="13" t="s">
        <v>205</v>
      </c>
      <c r="R10" s="15" t="s">
        <v>206</v>
      </c>
      <c r="S10" s="12" t="s">
        <v>207</v>
      </c>
      <c r="T10" s="12" t="s">
        <v>208</v>
      </c>
    </row>
    <row r="11" spans="1:21" ht="43.2" x14ac:dyDescent="0.3">
      <c r="A11" s="6" t="s">
        <v>33</v>
      </c>
      <c r="B11" t="s">
        <v>44</v>
      </c>
      <c r="C11" s="12" t="s">
        <v>209</v>
      </c>
      <c r="D11" s="13" t="s">
        <v>210</v>
      </c>
      <c r="E11" s="12" t="s">
        <v>211</v>
      </c>
      <c r="F11" s="12" t="s">
        <v>212</v>
      </c>
      <c r="G11" s="17" t="s">
        <v>213</v>
      </c>
      <c r="H11" s="12" t="s">
        <v>214</v>
      </c>
      <c r="I11" s="14" t="s">
        <v>215</v>
      </c>
      <c r="J11" s="6">
        <v>-200</v>
      </c>
      <c r="K11" s="12" t="s">
        <v>216</v>
      </c>
      <c r="L11" s="12" t="s">
        <v>217</v>
      </c>
      <c r="M11" s="12" t="s">
        <v>218</v>
      </c>
      <c r="N11" s="15" t="s">
        <v>219</v>
      </c>
      <c r="O11" s="16" t="s">
        <v>220</v>
      </c>
      <c r="P11" s="13" t="s">
        <v>221</v>
      </c>
      <c r="Q11" s="13" t="s">
        <v>222</v>
      </c>
      <c r="R11" s="15" t="s">
        <v>223</v>
      </c>
      <c r="S11" s="12" t="s">
        <v>224</v>
      </c>
      <c r="T11" s="12" t="s">
        <v>225</v>
      </c>
    </row>
    <row r="12" spans="1:21" ht="43.2" x14ac:dyDescent="0.3">
      <c r="A12" s="6" t="s">
        <v>34</v>
      </c>
      <c r="B12" t="s">
        <v>44</v>
      </c>
      <c r="C12" s="12" t="s">
        <v>226</v>
      </c>
      <c r="D12" s="13" t="s">
        <v>227</v>
      </c>
      <c r="E12" s="12" t="s">
        <v>228</v>
      </c>
      <c r="F12" s="12" t="s">
        <v>229</v>
      </c>
      <c r="G12" s="17" t="s">
        <v>230</v>
      </c>
      <c r="H12" s="12" t="s">
        <v>231</v>
      </c>
      <c r="I12" s="14" t="s">
        <v>232</v>
      </c>
      <c r="J12" s="6">
        <v>100</v>
      </c>
      <c r="K12" s="12" t="s">
        <v>233</v>
      </c>
      <c r="L12" s="12" t="s">
        <v>234</v>
      </c>
      <c r="M12" s="12" t="s">
        <v>235</v>
      </c>
      <c r="N12" s="15" t="s">
        <v>236</v>
      </c>
      <c r="O12" s="16" t="s">
        <v>237</v>
      </c>
      <c r="P12" s="13" t="s">
        <v>238</v>
      </c>
      <c r="Q12" s="13" t="s">
        <v>239</v>
      </c>
      <c r="R12" s="15" t="s">
        <v>240</v>
      </c>
      <c r="S12" s="12" t="s">
        <v>241</v>
      </c>
      <c r="T12" s="12" t="s">
        <v>242</v>
      </c>
    </row>
    <row r="13" spans="1:21" ht="43.2" x14ac:dyDescent="0.3">
      <c r="A13" s="6" t="s">
        <v>35</v>
      </c>
      <c r="B13" t="s">
        <v>46</v>
      </c>
      <c r="C13" s="12" t="s">
        <v>243</v>
      </c>
      <c r="D13" s="13" t="s">
        <v>244</v>
      </c>
      <c r="E13" s="12" t="s">
        <v>245</v>
      </c>
      <c r="F13" s="12" t="s">
        <v>246</v>
      </c>
      <c r="G13" s="17" t="s">
        <v>247</v>
      </c>
      <c r="H13" s="12" t="s">
        <v>248</v>
      </c>
      <c r="I13" s="14" t="s">
        <v>249</v>
      </c>
      <c r="J13" s="6">
        <v>-100</v>
      </c>
      <c r="K13" s="12" t="s">
        <v>250</v>
      </c>
      <c r="L13" s="12" t="s">
        <v>251</v>
      </c>
      <c r="M13" s="12" t="s">
        <v>252</v>
      </c>
      <c r="N13" s="15" t="s">
        <v>253</v>
      </c>
      <c r="O13" s="16" t="s">
        <v>254</v>
      </c>
      <c r="P13" s="13" t="s">
        <v>255</v>
      </c>
      <c r="Q13" s="13" t="s">
        <v>256</v>
      </c>
      <c r="R13" s="15" t="s">
        <v>257</v>
      </c>
      <c r="S13" s="12" t="s">
        <v>258</v>
      </c>
      <c r="T13" s="12" t="s">
        <v>259</v>
      </c>
    </row>
    <row r="14" spans="1:21" ht="43.2" x14ac:dyDescent="0.3">
      <c r="A14" s="6" t="s">
        <v>45</v>
      </c>
      <c r="B14" t="s">
        <v>46</v>
      </c>
      <c r="C14" s="12" t="s">
        <v>260</v>
      </c>
      <c r="D14" s="13" t="s">
        <v>261</v>
      </c>
      <c r="E14" s="12" t="s">
        <v>262</v>
      </c>
      <c r="F14" s="12" t="s">
        <v>263</v>
      </c>
      <c r="G14" s="17" t="s">
        <v>264</v>
      </c>
      <c r="H14" s="12" t="s">
        <v>265</v>
      </c>
      <c r="I14" s="14" t="s">
        <v>266</v>
      </c>
      <c r="J14" s="6">
        <v>200</v>
      </c>
      <c r="K14" s="12" t="s">
        <v>267</v>
      </c>
      <c r="L14" s="12" t="s">
        <v>268</v>
      </c>
      <c r="M14" s="12" t="s">
        <v>269</v>
      </c>
      <c r="N14" s="15" t="s">
        <v>270</v>
      </c>
      <c r="O14" s="16" t="s">
        <v>271</v>
      </c>
      <c r="P14" s="13" t="s">
        <v>272</v>
      </c>
      <c r="Q14" s="13" t="s">
        <v>273</v>
      </c>
      <c r="R14" s="15" t="s">
        <v>274</v>
      </c>
      <c r="S14" s="12" t="s">
        <v>275</v>
      </c>
      <c r="T14" s="12" t="s">
        <v>276</v>
      </c>
    </row>
    <row r="15" spans="1:21" ht="43.2" x14ac:dyDescent="0.3">
      <c r="A15" s="6" t="s">
        <v>36</v>
      </c>
      <c r="B15" t="s">
        <v>46</v>
      </c>
      <c r="C15" s="12" t="s">
        <v>277</v>
      </c>
      <c r="D15" s="13" t="s">
        <v>278</v>
      </c>
      <c r="E15" s="12" t="s">
        <v>279</v>
      </c>
      <c r="F15" s="12" t="s">
        <v>280</v>
      </c>
      <c r="G15" s="17" t="s">
        <v>281</v>
      </c>
      <c r="H15" s="12" t="s">
        <v>282</v>
      </c>
      <c r="I15" s="14" t="s">
        <v>283</v>
      </c>
      <c r="J15" s="6">
        <v>-100</v>
      </c>
      <c r="K15" s="12" t="s">
        <v>284</v>
      </c>
      <c r="L15" s="12" t="s">
        <v>285</v>
      </c>
      <c r="M15" s="12" t="s">
        <v>286</v>
      </c>
      <c r="N15" s="15" t="s">
        <v>287</v>
      </c>
      <c r="O15" s="16" t="s">
        <v>288</v>
      </c>
      <c r="P15" s="13" t="s">
        <v>289</v>
      </c>
      <c r="Q15" s="13" t="s">
        <v>290</v>
      </c>
      <c r="R15" s="15" t="s">
        <v>291</v>
      </c>
      <c r="S15" s="12" t="s">
        <v>292</v>
      </c>
      <c r="T15" s="12" t="s">
        <v>293</v>
      </c>
    </row>
    <row r="16" spans="1:21" x14ac:dyDescent="0.3">
      <c r="D16" s="5"/>
      <c r="I16" s="4"/>
      <c r="N16" s="8"/>
      <c r="O16" s="9"/>
      <c r="P16" s="5"/>
      <c r="Q16" s="5"/>
      <c r="R16" s="8"/>
    </row>
    <row r="17" spans="2:18" x14ac:dyDescent="0.3">
      <c r="B17" s="10"/>
      <c r="D17" s="5"/>
      <c r="I17" s="4"/>
      <c r="N17" s="8"/>
      <c r="O17" s="9"/>
      <c r="P17" s="5"/>
      <c r="Q17" s="5"/>
      <c r="R17" s="8"/>
    </row>
    <row r="18" spans="2:18" x14ac:dyDescent="0.3">
      <c r="D18" s="5"/>
      <c r="I18" s="4"/>
      <c r="N18" s="8"/>
      <c r="O18" s="9"/>
      <c r="P18" s="5"/>
      <c r="Q18" s="5"/>
      <c r="R18" s="8"/>
    </row>
    <row r="19" spans="2:18" x14ac:dyDescent="0.3">
      <c r="D19" s="5"/>
      <c r="I19" s="4"/>
      <c r="N19" s="8"/>
      <c r="O19" s="9"/>
      <c r="P19" s="5"/>
      <c r="Q19" s="5"/>
      <c r="R19" s="8"/>
    </row>
    <row r="20" spans="2:18" x14ac:dyDescent="0.3">
      <c r="D20" s="5"/>
      <c r="I20" s="4"/>
      <c r="N20" s="8"/>
      <c r="O20" s="9"/>
      <c r="P20" s="5"/>
      <c r="Q20" s="5"/>
      <c r="R20" s="8"/>
    </row>
    <row r="21" spans="2:18" x14ac:dyDescent="0.3">
      <c r="D21" s="5"/>
      <c r="I21" s="4"/>
      <c r="N21" s="8"/>
      <c r="O21" s="9"/>
      <c r="P21" s="5"/>
      <c r="Q21" s="5"/>
      <c r="R21" s="8"/>
    </row>
    <row r="22" spans="2:18" x14ac:dyDescent="0.3">
      <c r="D22" s="5"/>
      <c r="I22" s="4"/>
      <c r="N22" s="8"/>
      <c r="O22" s="9"/>
      <c r="P22" s="5"/>
      <c r="Q22" s="5"/>
      <c r="R22" s="8"/>
    </row>
    <row r="23" spans="2:18" x14ac:dyDescent="0.3">
      <c r="D23" s="5"/>
      <c r="I23" s="4"/>
      <c r="N23" s="8"/>
      <c r="O23" s="9"/>
      <c r="P23" s="5"/>
      <c r="Q23" s="5"/>
      <c r="R23" s="8"/>
    </row>
    <row r="24" spans="2:18" x14ac:dyDescent="0.3">
      <c r="D24" s="5"/>
      <c r="I24" s="4"/>
      <c r="N24" s="8"/>
      <c r="O24" s="9"/>
      <c r="P24" s="5"/>
      <c r="Q24" s="5"/>
      <c r="R24" s="8"/>
    </row>
    <row r="25" spans="2:18" x14ac:dyDescent="0.3">
      <c r="D25" s="5"/>
      <c r="I25" s="4"/>
      <c r="N25" s="8"/>
      <c r="O25" s="9"/>
      <c r="P25" s="5"/>
      <c r="Q25" s="5"/>
      <c r="R25" s="8"/>
    </row>
    <row r="26" spans="2:18" x14ac:dyDescent="0.3">
      <c r="D26" s="5"/>
      <c r="I26" s="4"/>
      <c r="N26" s="8"/>
      <c r="O26" s="9"/>
      <c r="P26" s="5"/>
      <c r="Q26" s="5"/>
      <c r="R26" s="8"/>
    </row>
    <row r="27" spans="2:18" x14ac:dyDescent="0.3">
      <c r="D27" s="5"/>
      <c r="I27" s="4"/>
      <c r="N27" s="8"/>
      <c r="O27" s="9"/>
      <c r="P27" s="5"/>
      <c r="Q27" s="5"/>
      <c r="R27" s="8"/>
    </row>
    <row r="28" spans="2:18" x14ac:dyDescent="0.3">
      <c r="D28" s="5"/>
      <c r="I28" s="4"/>
      <c r="N28" s="8"/>
      <c r="O28" s="9"/>
      <c r="P28" s="5"/>
      <c r="Q28" s="5"/>
      <c r="R28" s="8"/>
    </row>
    <row r="29" spans="2:18" x14ac:dyDescent="0.3">
      <c r="D29" s="5"/>
      <c r="I29" s="4"/>
      <c r="N29" s="8"/>
      <c r="O29" s="9"/>
      <c r="P29" s="5"/>
      <c r="Q29" s="5"/>
      <c r="R29" s="8"/>
    </row>
    <row r="30" spans="2:18" x14ac:dyDescent="0.3">
      <c r="D30" s="5"/>
      <c r="I30" s="4"/>
      <c r="N30" s="8"/>
      <c r="O30" s="9"/>
      <c r="P30" s="5"/>
      <c r="Q30" s="5"/>
      <c r="R30" s="8"/>
    </row>
    <row r="31" spans="2:18" x14ac:dyDescent="0.3">
      <c r="D31" s="5"/>
      <c r="I31" s="4"/>
      <c r="N31" s="8"/>
      <c r="O31" s="9"/>
      <c r="P31" s="5"/>
      <c r="Q31" s="5"/>
      <c r="R31" s="8"/>
    </row>
    <row r="32" spans="2:18" x14ac:dyDescent="0.3">
      <c r="D32" s="5"/>
      <c r="I32" s="4"/>
      <c r="N32" s="8"/>
      <c r="O32" s="9"/>
      <c r="P32" s="5"/>
      <c r="Q32" s="5"/>
      <c r="R32" s="8"/>
    </row>
    <row r="33" spans="4:18" x14ac:dyDescent="0.3">
      <c r="D33" s="5"/>
      <c r="I33" s="4"/>
      <c r="N33" s="8"/>
      <c r="O33" s="9"/>
      <c r="P33" s="5"/>
      <c r="Q33" s="5"/>
      <c r="R33" s="8"/>
    </row>
    <row r="34" spans="4:18" x14ac:dyDescent="0.3">
      <c r="D34" s="5"/>
      <c r="I34" s="4"/>
      <c r="N34" s="8"/>
      <c r="O34" s="9"/>
      <c r="P34" s="5"/>
      <c r="Q34" s="5"/>
      <c r="R34" s="8"/>
    </row>
    <row r="35" spans="4:18" x14ac:dyDescent="0.3">
      <c r="D35" s="5"/>
      <c r="I35" s="4"/>
      <c r="N35" s="8"/>
      <c r="O35" s="9"/>
      <c r="P35" s="5"/>
      <c r="Q35" s="5"/>
      <c r="R35" s="8"/>
    </row>
    <row r="36" spans="4:18" x14ac:dyDescent="0.3">
      <c r="D36" s="5"/>
      <c r="I36" s="4"/>
      <c r="N36" s="8"/>
      <c r="O36" s="9"/>
      <c r="P36" s="5"/>
      <c r="Q36" s="5"/>
      <c r="R36" s="8"/>
    </row>
    <row r="37" spans="4:18" x14ac:dyDescent="0.3">
      <c r="D37" s="5"/>
      <c r="I37" s="4"/>
      <c r="N37" s="8"/>
      <c r="O37" s="9"/>
      <c r="P37" s="5"/>
      <c r="Q37" s="5"/>
      <c r="R37" s="8"/>
    </row>
    <row r="38" spans="4:18" x14ac:dyDescent="0.3">
      <c r="D38" s="5"/>
      <c r="I38" s="4"/>
      <c r="N38" s="8"/>
      <c r="O38" s="9"/>
      <c r="P38" s="5"/>
      <c r="Q38" s="5"/>
      <c r="R38" s="8"/>
    </row>
    <row r="39" spans="4:18" x14ac:dyDescent="0.3">
      <c r="D39" s="5"/>
      <c r="I39" s="4"/>
      <c r="N39" s="8"/>
      <c r="O39" s="9"/>
      <c r="P39" s="5"/>
      <c r="Q39" s="5"/>
      <c r="R39" s="8"/>
    </row>
    <row r="40" spans="4:18" x14ac:dyDescent="0.3">
      <c r="D40" s="5"/>
      <c r="I40" s="4"/>
      <c r="N40" s="8"/>
      <c r="O40" s="9"/>
      <c r="P40" s="5"/>
      <c r="Q40" s="5"/>
      <c r="R40" s="8"/>
    </row>
    <row r="41" spans="4:18" x14ac:dyDescent="0.3">
      <c r="D41" s="5"/>
      <c r="I41" s="4"/>
      <c r="N41" s="8"/>
      <c r="O41" s="9"/>
      <c r="P41" s="5"/>
      <c r="Q41" s="5"/>
      <c r="R41" s="8"/>
    </row>
    <row r="42" spans="4:18" x14ac:dyDescent="0.3">
      <c r="D42" s="5"/>
      <c r="I42" s="4"/>
      <c r="N42" s="8"/>
      <c r="O42" s="9"/>
      <c r="P42" s="5"/>
      <c r="Q42" s="5"/>
      <c r="R42" s="8"/>
    </row>
    <row r="43" spans="4:18" x14ac:dyDescent="0.3">
      <c r="D43" s="5"/>
      <c r="I43" s="4"/>
      <c r="N43" s="8"/>
      <c r="O43" s="9"/>
      <c r="P43" s="5"/>
      <c r="Q43" s="5"/>
      <c r="R43" s="8"/>
    </row>
    <row r="44" spans="4:18" x14ac:dyDescent="0.3">
      <c r="D44" s="5"/>
      <c r="I44" s="4"/>
      <c r="N44" s="8"/>
      <c r="O44" s="9"/>
      <c r="P44" s="5"/>
      <c r="Q44" s="5"/>
      <c r="R44" s="8"/>
    </row>
    <row r="45" spans="4:18" x14ac:dyDescent="0.3">
      <c r="D45" s="5"/>
      <c r="I45" s="4"/>
      <c r="N45" s="8"/>
      <c r="O45" s="9"/>
      <c r="P45" s="5"/>
      <c r="Q45" s="5"/>
      <c r="R45" s="8"/>
    </row>
    <row r="46" spans="4:18" x14ac:dyDescent="0.3">
      <c r="D46" s="5"/>
      <c r="I46" s="4"/>
      <c r="N46" s="8"/>
      <c r="O46" s="9"/>
      <c r="P46" s="5"/>
      <c r="Q46" s="5"/>
      <c r="R46" s="8"/>
    </row>
    <row r="47" spans="4:18" x14ac:dyDescent="0.3">
      <c r="D47" s="5"/>
      <c r="I47" s="4"/>
      <c r="N47" s="8"/>
      <c r="O47" s="9"/>
      <c r="P47" s="5"/>
      <c r="Q47" s="5"/>
      <c r="R47" s="8"/>
    </row>
    <row r="48" spans="4:18" x14ac:dyDescent="0.3">
      <c r="D48" s="5"/>
      <c r="I48" s="4"/>
      <c r="N48" s="8"/>
      <c r="O48" s="9"/>
      <c r="P48" s="5"/>
      <c r="Q48" s="5"/>
      <c r="R48" s="8"/>
    </row>
    <row r="49" spans="4:18" x14ac:dyDescent="0.3">
      <c r="D49" s="5"/>
      <c r="I49" s="4"/>
      <c r="N49" s="8"/>
      <c r="O49" s="9"/>
      <c r="P49" s="5"/>
      <c r="Q49" s="5"/>
      <c r="R49" s="8"/>
    </row>
    <row r="50" spans="4:18" x14ac:dyDescent="0.3">
      <c r="D50" s="5"/>
      <c r="I50" s="4"/>
      <c r="N50" s="8"/>
      <c r="O50" s="9"/>
      <c r="P50" s="5"/>
      <c r="Q50" s="5"/>
      <c r="R50" s="8"/>
    </row>
    <row r="51" spans="4:18" x14ac:dyDescent="0.3">
      <c r="D51" s="5"/>
      <c r="I51" s="4"/>
      <c r="N51" s="8"/>
      <c r="O51" s="9"/>
      <c r="P51" s="5"/>
      <c r="Q51" s="5"/>
      <c r="R51" s="8"/>
    </row>
    <row r="52" spans="4:18" x14ac:dyDescent="0.3">
      <c r="D52" s="5"/>
      <c r="I52" s="4"/>
      <c r="N52" s="8"/>
      <c r="O52" s="9"/>
      <c r="P52" s="5"/>
      <c r="Q52" s="5"/>
      <c r="R52" s="8"/>
    </row>
    <row r="53" spans="4:18" x14ac:dyDescent="0.3">
      <c r="D53" s="5"/>
      <c r="I53" s="4"/>
      <c r="N53" s="8"/>
      <c r="O53" s="9"/>
      <c r="P53" s="5"/>
      <c r="Q53" s="5"/>
      <c r="R53" s="8"/>
    </row>
    <row r="54" spans="4:18" x14ac:dyDescent="0.3">
      <c r="D54" s="5"/>
      <c r="I54" s="4"/>
      <c r="N54" s="8"/>
      <c r="O54" s="9"/>
      <c r="P54" s="5"/>
      <c r="Q54" s="5"/>
      <c r="R54" s="8"/>
    </row>
    <row r="55" spans="4:18" x14ac:dyDescent="0.3">
      <c r="D55" s="5"/>
      <c r="I55" s="4"/>
      <c r="N55" s="8"/>
      <c r="O55" s="9"/>
      <c r="P55" s="5"/>
      <c r="Q55" s="5"/>
      <c r="R55" s="8"/>
    </row>
    <row r="56" spans="4:18" x14ac:dyDescent="0.3">
      <c r="D56" s="5"/>
      <c r="I56" s="4"/>
      <c r="N56" s="8"/>
      <c r="O56" s="9"/>
      <c r="P56" s="5"/>
      <c r="Q56" s="5"/>
      <c r="R56" s="8"/>
    </row>
    <row r="57" spans="4:18" x14ac:dyDescent="0.3">
      <c r="D57" s="5"/>
      <c r="I57" s="4"/>
      <c r="N57" s="8"/>
      <c r="O57" s="9"/>
      <c r="P57" s="5"/>
      <c r="Q57" s="5"/>
      <c r="R57" s="8"/>
    </row>
    <row r="58" spans="4:18" x14ac:dyDescent="0.3">
      <c r="D58" s="5"/>
      <c r="I58" s="4"/>
      <c r="N58" s="8"/>
      <c r="O58" s="9"/>
      <c r="P58" s="5"/>
      <c r="Q58" s="5"/>
      <c r="R58" s="8"/>
    </row>
    <row r="59" spans="4:18" x14ac:dyDescent="0.3">
      <c r="D59" s="5"/>
      <c r="I59" s="4"/>
      <c r="N59" s="8"/>
      <c r="O59" s="9"/>
      <c r="P59" s="5"/>
      <c r="Q59" s="5"/>
      <c r="R59" s="8"/>
    </row>
    <row r="60" spans="4:18" x14ac:dyDescent="0.3">
      <c r="D60" s="5"/>
      <c r="I60" s="4"/>
      <c r="N60" s="8"/>
      <c r="O60" s="9"/>
      <c r="P60" s="5"/>
      <c r="Q60" s="5"/>
      <c r="R60" s="8"/>
    </row>
    <row r="61" spans="4:18" x14ac:dyDescent="0.3">
      <c r="D61" s="5"/>
      <c r="I61" s="4"/>
      <c r="N61" s="8"/>
      <c r="O61" s="9"/>
      <c r="P61" s="5"/>
      <c r="Q61" s="5"/>
      <c r="R61" s="8"/>
    </row>
    <row r="62" spans="4:18" x14ac:dyDescent="0.3">
      <c r="D62" s="5"/>
      <c r="I62" s="4"/>
      <c r="N62" s="8"/>
      <c r="O62" s="9"/>
      <c r="P62" s="5"/>
      <c r="Q62" s="5"/>
      <c r="R62" s="8"/>
    </row>
    <row r="63" spans="4:18" x14ac:dyDescent="0.3">
      <c r="D63" s="5"/>
      <c r="I63" s="4"/>
      <c r="N63" s="8"/>
      <c r="O63" s="9"/>
      <c r="P63" s="5"/>
      <c r="Q63" s="5"/>
      <c r="R63" s="8"/>
    </row>
    <row r="64" spans="4:18" x14ac:dyDescent="0.3">
      <c r="D64" s="5"/>
      <c r="I64" s="4"/>
      <c r="N64" s="8"/>
      <c r="O64" s="9"/>
      <c r="P64" s="5"/>
      <c r="Q64" s="5"/>
      <c r="R64" s="8"/>
    </row>
    <row r="65" spans="4:18" x14ac:dyDescent="0.3">
      <c r="D65" s="5"/>
      <c r="I65" s="4"/>
      <c r="N65" s="8"/>
      <c r="O65" s="9"/>
      <c r="P65" s="5"/>
      <c r="Q65" s="5"/>
      <c r="R65" s="8"/>
    </row>
    <row r="66" spans="4:18" x14ac:dyDescent="0.3">
      <c r="D66" s="5"/>
      <c r="I66" s="4"/>
      <c r="N66" s="8"/>
      <c r="O66" s="9"/>
      <c r="P66" s="5"/>
      <c r="Q66" s="5"/>
      <c r="R66" s="8"/>
    </row>
    <row r="67" spans="4:18" x14ac:dyDescent="0.3">
      <c r="D67" s="5"/>
      <c r="I67" s="4"/>
      <c r="N67" s="8"/>
      <c r="O67" s="9"/>
      <c r="P67" s="5"/>
      <c r="Q67" s="5"/>
      <c r="R67" s="8"/>
    </row>
    <row r="68" spans="4:18" x14ac:dyDescent="0.3">
      <c r="D68" s="5"/>
      <c r="I68" s="4"/>
      <c r="N68" s="8"/>
      <c r="O68" s="9"/>
      <c r="P68" s="5"/>
      <c r="Q68" s="5"/>
      <c r="R68" s="8"/>
    </row>
    <row r="69" spans="4:18" x14ac:dyDescent="0.3">
      <c r="D69" s="5"/>
      <c r="I69" s="4"/>
      <c r="N69" s="8"/>
      <c r="O69" s="9"/>
      <c r="P69" s="5"/>
      <c r="Q69" s="5"/>
      <c r="R69" s="8"/>
    </row>
    <row r="70" spans="4:18" x14ac:dyDescent="0.3">
      <c r="D70" s="5"/>
      <c r="I70" s="4"/>
      <c r="N70" s="8"/>
      <c r="O70" s="9"/>
      <c r="P70" s="5"/>
      <c r="Q70" s="5"/>
      <c r="R70" s="8"/>
    </row>
    <row r="71" spans="4:18" x14ac:dyDescent="0.3">
      <c r="D71" s="5"/>
      <c r="I71" s="4"/>
      <c r="N71" s="8"/>
      <c r="O71" s="9"/>
      <c r="P71" s="5"/>
      <c r="Q71" s="5"/>
      <c r="R71" s="8"/>
    </row>
    <row r="72" spans="4:18" x14ac:dyDescent="0.3">
      <c r="D72" s="5"/>
      <c r="I72" s="4"/>
      <c r="N72" s="8"/>
      <c r="O72" s="9"/>
      <c r="P72" s="5"/>
      <c r="Q72" s="5"/>
      <c r="R72" s="8"/>
    </row>
    <row r="73" spans="4:18" x14ac:dyDescent="0.3">
      <c r="D73" s="5"/>
      <c r="I73" s="4"/>
      <c r="N73" s="8"/>
      <c r="O73" s="9"/>
      <c r="P73" s="5"/>
      <c r="Q73" s="5"/>
      <c r="R73" s="8"/>
    </row>
    <row r="74" spans="4:18" x14ac:dyDescent="0.3">
      <c r="D74" s="5"/>
      <c r="I74" s="4"/>
      <c r="N74" s="8"/>
      <c r="O74" s="9"/>
      <c r="P74" s="5"/>
      <c r="Q74" s="5"/>
      <c r="R74" s="8"/>
    </row>
    <row r="75" spans="4:18" x14ac:dyDescent="0.3">
      <c r="D75" s="5"/>
      <c r="I75" s="4"/>
      <c r="N75" s="8"/>
      <c r="O75" s="9"/>
      <c r="P75" s="5"/>
      <c r="Q75" s="5"/>
      <c r="R75" s="8"/>
    </row>
    <row r="76" spans="4:18" x14ac:dyDescent="0.3">
      <c r="D76" s="5"/>
      <c r="I76" s="4"/>
      <c r="N76" s="8"/>
      <c r="O76" s="9"/>
      <c r="P76" s="5"/>
      <c r="Q76" s="5"/>
      <c r="R76" s="8"/>
    </row>
    <row r="77" spans="4:18" x14ac:dyDescent="0.3">
      <c r="D77" s="5"/>
      <c r="I77" s="4"/>
      <c r="N77" s="8"/>
      <c r="O77" s="9"/>
      <c r="P77" s="5"/>
      <c r="Q77" s="5"/>
      <c r="R77" s="8"/>
    </row>
    <row r="78" spans="4:18" x14ac:dyDescent="0.3">
      <c r="D78" s="5"/>
      <c r="I78" s="4"/>
      <c r="N78" s="8"/>
      <c r="O78" s="9"/>
      <c r="P78" s="5"/>
      <c r="Q78" s="5"/>
      <c r="R78" s="8"/>
    </row>
    <row r="79" spans="4:18" x14ac:dyDescent="0.3">
      <c r="D79" s="5"/>
      <c r="I79" s="4"/>
      <c r="N79" s="8"/>
      <c r="O79" s="9"/>
      <c r="P79" s="5"/>
      <c r="Q79" s="5"/>
      <c r="R79" s="8"/>
    </row>
    <row r="80" spans="4:18" x14ac:dyDescent="0.3">
      <c r="D80" s="5"/>
      <c r="I80" s="4"/>
      <c r="N80" s="8"/>
      <c r="O80" s="9"/>
      <c r="P80" s="5"/>
      <c r="Q80" s="5"/>
      <c r="R80" s="8"/>
    </row>
    <row r="81" spans="4:18" x14ac:dyDescent="0.3">
      <c r="D81" s="5"/>
      <c r="I81" s="4"/>
      <c r="N81" s="8"/>
      <c r="O81" s="9"/>
      <c r="P81" s="5"/>
      <c r="Q81" s="5"/>
      <c r="R81" s="8"/>
    </row>
    <row r="82" spans="4:18" x14ac:dyDescent="0.3">
      <c r="D82" s="5"/>
      <c r="I82" s="4"/>
      <c r="N82" s="8"/>
      <c r="O82" s="9"/>
      <c r="P82" s="5"/>
      <c r="Q82" s="5"/>
      <c r="R82" s="8"/>
    </row>
    <row r="83" spans="4:18" x14ac:dyDescent="0.3">
      <c r="D83" s="5"/>
      <c r="I83" s="4"/>
      <c r="N83" s="8"/>
      <c r="O83" s="9"/>
      <c r="P83" s="5"/>
      <c r="Q83" s="5"/>
      <c r="R83" s="8"/>
    </row>
    <row r="84" spans="4:18" x14ac:dyDescent="0.3">
      <c r="D84" s="5"/>
      <c r="I84" s="4"/>
      <c r="N84" s="8"/>
      <c r="O84" s="9"/>
      <c r="P84" s="5"/>
      <c r="Q84" s="5"/>
      <c r="R84" s="8"/>
    </row>
    <row r="85" spans="4:18" x14ac:dyDescent="0.3">
      <c r="D85" s="5"/>
      <c r="I85" s="4"/>
      <c r="N85" s="8"/>
      <c r="O85" s="9"/>
      <c r="P85" s="5"/>
      <c r="Q85" s="5"/>
      <c r="R85" s="8"/>
    </row>
    <row r="86" spans="4:18" x14ac:dyDescent="0.3">
      <c r="D86" s="5"/>
      <c r="I86" s="4"/>
      <c r="N86" s="8"/>
      <c r="O86" s="9"/>
      <c r="P86" s="5"/>
      <c r="Q86" s="5"/>
      <c r="R86" s="8"/>
    </row>
    <row r="87" spans="4:18" x14ac:dyDescent="0.3">
      <c r="D87" s="5"/>
      <c r="I87" s="4"/>
      <c r="N87" s="8"/>
      <c r="O87" s="9"/>
      <c r="P87" s="5"/>
      <c r="Q87" s="5"/>
      <c r="R87" s="8"/>
    </row>
    <row r="88" spans="4:18" x14ac:dyDescent="0.3">
      <c r="D88" s="5"/>
      <c r="I88" s="4"/>
      <c r="N88" s="8"/>
      <c r="O88" s="9"/>
      <c r="P88" s="5"/>
      <c r="Q88" s="5"/>
      <c r="R88" s="8"/>
    </row>
    <row r="89" spans="4:18" x14ac:dyDescent="0.3">
      <c r="D89" s="5"/>
      <c r="I89" s="4"/>
      <c r="N89" s="8"/>
      <c r="O89" s="9"/>
      <c r="P89" s="5"/>
      <c r="Q89" s="5"/>
      <c r="R89" s="8"/>
    </row>
    <row r="90" spans="4:18" x14ac:dyDescent="0.3">
      <c r="D90" s="5"/>
      <c r="I90" s="4"/>
      <c r="N90" s="8"/>
      <c r="O90" s="9"/>
      <c r="P90" s="5"/>
      <c r="Q90" s="5"/>
      <c r="R90" s="8"/>
    </row>
    <row r="91" spans="4:18" x14ac:dyDescent="0.3">
      <c r="D91" s="5"/>
      <c r="I91" s="4"/>
      <c r="N91" s="8"/>
      <c r="O91" s="9"/>
      <c r="P91" s="5"/>
      <c r="Q91" s="5"/>
      <c r="R91" s="8"/>
    </row>
    <row r="92" spans="4:18" x14ac:dyDescent="0.3">
      <c r="D92" s="5"/>
      <c r="I92" s="4"/>
      <c r="N92" s="8"/>
      <c r="O92" s="9"/>
      <c r="P92" s="5"/>
      <c r="Q92" s="5"/>
      <c r="R92" s="8"/>
    </row>
    <row r="93" spans="4:18" x14ac:dyDescent="0.3">
      <c r="D93" s="5"/>
      <c r="I93" s="4"/>
      <c r="N93" s="8"/>
      <c r="O93" s="9"/>
      <c r="P93" s="5"/>
      <c r="Q93" s="5"/>
      <c r="R93" s="8"/>
    </row>
    <row r="94" spans="4:18" x14ac:dyDescent="0.3">
      <c r="D94" s="5"/>
      <c r="I94" s="4"/>
      <c r="N94" s="8"/>
      <c r="O94" s="9"/>
      <c r="P94" s="5"/>
      <c r="Q94" s="5"/>
      <c r="R94" s="8"/>
    </row>
    <row r="95" spans="4:18" x14ac:dyDescent="0.3">
      <c r="D95" s="5"/>
      <c r="I95" s="4"/>
      <c r="N95" s="8"/>
      <c r="O95" s="9"/>
      <c r="P95" s="5"/>
      <c r="Q95" s="5"/>
      <c r="R95" s="8"/>
    </row>
    <row r="96" spans="4:18" x14ac:dyDescent="0.3">
      <c r="D96" s="5"/>
      <c r="I96" s="4"/>
      <c r="N96" s="8"/>
      <c r="O96" s="9"/>
      <c r="P96" s="5"/>
      <c r="Q96" s="5"/>
      <c r="R96" s="8"/>
    </row>
    <row r="97" spans="4:18" x14ac:dyDescent="0.3">
      <c r="D97" s="5"/>
      <c r="I97" s="4"/>
      <c r="N97" s="8"/>
      <c r="O97" s="9"/>
      <c r="P97" s="5"/>
      <c r="Q97" s="5"/>
      <c r="R97" s="8"/>
    </row>
    <row r="98" spans="4:18" x14ac:dyDescent="0.3">
      <c r="D98" s="5"/>
      <c r="I98" s="4"/>
      <c r="N98" s="8"/>
      <c r="O98" s="9"/>
      <c r="P98" s="5"/>
      <c r="Q98" s="5"/>
      <c r="R98" s="8"/>
    </row>
    <row r="99" spans="4:18" x14ac:dyDescent="0.3">
      <c r="D99" s="5"/>
      <c r="I99" s="4"/>
      <c r="N99" s="8"/>
      <c r="O99" s="9"/>
      <c r="P99" s="5"/>
      <c r="Q99" s="5"/>
      <c r="R99" s="8"/>
    </row>
    <row r="100" spans="4:18" x14ac:dyDescent="0.3">
      <c r="D100" s="5"/>
      <c r="I100" s="4"/>
      <c r="N100" s="8"/>
      <c r="O100" s="9"/>
      <c r="P100" s="5"/>
      <c r="Q100" s="5"/>
      <c r="R100" s="8"/>
    </row>
    <row r="101" spans="4:18" x14ac:dyDescent="0.3">
      <c r="D101" s="5"/>
      <c r="I101" s="4"/>
      <c r="N101" s="8"/>
      <c r="O101" s="9"/>
      <c r="P101" s="5"/>
      <c r="Q101" s="5"/>
      <c r="R101" s="8"/>
    </row>
    <row r="102" spans="4:18" x14ac:dyDescent="0.3">
      <c r="D102" s="5"/>
      <c r="I102" s="4"/>
      <c r="N102" s="8"/>
      <c r="O102" s="9"/>
      <c r="P102" s="5"/>
      <c r="Q102" s="5"/>
      <c r="R102" s="8"/>
    </row>
    <row r="103" spans="4:18" x14ac:dyDescent="0.3">
      <c r="D103" s="5"/>
      <c r="I103" s="4"/>
      <c r="N103" s="8"/>
      <c r="O103" s="9"/>
      <c r="P103" s="5"/>
      <c r="Q103" s="5"/>
      <c r="R103" s="8"/>
    </row>
    <row r="104" spans="4:18" x14ac:dyDescent="0.3">
      <c r="D104" s="5"/>
      <c r="I104" s="4"/>
      <c r="N104" s="8"/>
      <c r="O104" s="9"/>
      <c r="P104" s="5"/>
      <c r="Q104" s="5"/>
      <c r="R104" s="8"/>
    </row>
    <row r="105" spans="4:18" x14ac:dyDescent="0.3">
      <c r="D105" s="5"/>
      <c r="I105" s="4"/>
      <c r="N105" s="8"/>
      <c r="O105" s="9"/>
      <c r="P105" s="5"/>
      <c r="Q105" s="5"/>
      <c r="R105" s="8"/>
    </row>
    <row r="106" spans="4:18" x14ac:dyDescent="0.3">
      <c r="D106" s="5"/>
      <c r="I106" s="4"/>
      <c r="N106" s="8"/>
      <c r="O106" s="9"/>
      <c r="P106" s="5"/>
      <c r="Q106" s="5"/>
      <c r="R106" s="8"/>
    </row>
    <row r="107" spans="4:18" x14ac:dyDescent="0.3">
      <c r="D107" s="5"/>
      <c r="I107" s="4"/>
      <c r="N107" s="8"/>
      <c r="O107" s="9"/>
      <c r="P107" s="5"/>
      <c r="Q107" s="5"/>
      <c r="R107" s="8"/>
    </row>
    <row r="108" spans="4:18" x14ac:dyDescent="0.3">
      <c r="D108" s="5"/>
      <c r="I108" s="4"/>
      <c r="N108" s="8"/>
      <c r="O108" s="9"/>
      <c r="P108" s="5"/>
      <c r="Q108" s="5"/>
      <c r="R108" s="8"/>
    </row>
    <row r="109" spans="4:18" x14ac:dyDescent="0.3">
      <c r="D109" s="5"/>
      <c r="I109" s="4"/>
      <c r="N109" s="8"/>
      <c r="O109" s="9"/>
      <c r="P109" s="5"/>
      <c r="Q109" s="5"/>
      <c r="R109" s="8"/>
    </row>
    <row r="110" spans="4:18" x14ac:dyDescent="0.3">
      <c r="D110" s="5"/>
      <c r="I110" s="4"/>
      <c r="N110" s="8"/>
      <c r="O110" s="9"/>
      <c r="P110" s="5"/>
      <c r="Q110" s="5"/>
      <c r="R110" s="8"/>
    </row>
    <row r="111" spans="4:18" x14ac:dyDescent="0.3">
      <c r="D111" s="5"/>
      <c r="I111" s="4"/>
      <c r="N111" s="8"/>
      <c r="O111" s="9"/>
      <c r="P111" s="5"/>
      <c r="Q111" s="5"/>
      <c r="R111" s="8"/>
    </row>
    <row r="112" spans="4:18" x14ac:dyDescent="0.3">
      <c r="D112" s="5"/>
      <c r="I112" s="4"/>
      <c r="N112" s="8"/>
      <c r="O112" s="9"/>
      <c r="P112" s="5"/>
      <c r="Q112" s="5"/>
      <c r="R112" s="8"/>
    </row>
    <row r="113" spans="4:18" x14ac:dyDescent="0.3">
      <c r="D113" s="5"/>
      <c r="I113" s="4"/>
      <c r="N113" s="8"/>
      <c r="O113" s="9"/>
      <c r="P113" s="5"/>
      <c r="Q113" s="5"/>
      <c r="R113" s="8"/>
    </row>
    <row r="114" spans="4:18" x14ac:dyDescent="0.3">
      <c r="D114" s="5"/>
      <c r="I114" s="4"/>
      <c r="N114" s="8"/>
      <c r="O114" s="9"/>
      <c r="P114" s="5"/>
      <c r="Q114" s="5"/>
      <c r="R114" s="8"/>
    </row>
    <row r="115" spans="4:18" x14ac:dyDescent="0.3">
      <c r="D115" s="5"/>
      <c r="I115" s="4"/>
      <c r="N115" s="8"/>
      <c r="O115" s="9"/>
      <c r="P115" s="5"/>
      <c r="Q115" s="5"/>
      <c r="R115" s="8"/>
    </row>
    <row r="116" spans="4:18" x14ac:dyDescent="0.3">
      <c r="D116" s="5"/>
      <c r="I116" s="4"/>
      <c r="N116" s="8"/>
      <c r="O116" s="9"/>
      <c r="P116" s="5"/>
      <c r="Q116" s="5"/>
      <c r="R116" s="8"/>
    </row>
    <row r="117" spans="4:18" x14ac:dyDescent="0.3">
      <c r="D117" s="5"/>
      <c r="I117" s="4"/>
      <c r="N117" s="8"/>
      <c r="O117" s="9"/>
      <c r="P117" s="5"/>
      <c r="Q117" s="5"/>
      <c r="R117" s="8"/>
    </row>
    <row r="118" spans="4:18" x14ac:dyDescent="0.3">
      <c r="D118" s="5"/>
      <c r="I118" s="4"/>
      <c r="N118" s="8"/>
      <c r="O118" s="9"/>
      <c r="P118" s="5"/>
      <c r="Q118" s="5"/>
      <c r="R118" s="8"/>
    </row>
    <row r="119" spans="4:18" x14ac:dyDescent="0.3">
      <c r="D119" s="5"/>
      <c r="I119" s="4"/>
      <c r="N119" s="8"/>
      <c r="O119" s="9"/>
      <c r="P119" s="5"/>
      <c r="Q119" s="5"/>
      <c r="R119" s="8"/>
    </row>
    <row r="120" spans="4:18" x14ac:dyDescent="0.3">
      <c r="D120" s="5"/>
      <c r="I120" s="4"/>
      <c r="N120" s="8"/>
      <c r="O120" s="9"/>
      <c r="P120" s="5"/>
      <c r="Q120" s="5"/>
      <c r="R120" s="8"/>
    </row>
    <row r="121" spans="4:18" x14ac:dyDescent="0.3">
      <c r="D121" s="5"/>
      <c r="I121" s="4"/>
      <c r="N121" s="8"/>
      <c r="O121" s="9"/>
      <c r="P121" s="5"/>
      <c r="Q121" s="5"/>
      <c r="R121" s="8"/>
    </row>
    <row r="122" spans="4:18" x14ac:dyDescent="0.3">
      <c r="D122" s="5"/>
      <c r="I122" s="4"/>
      <c r="N122" s="8"/>
      <c r="O122" s="9"/>
      <c r="P122" s="5"/>
      <c r="Q122" s="5"/>
      <c r="R122" s="8"/>
    </row>
    <row r="123" spans="4:18" x14ac:dyDescent="0.3">
      <c r="D123" s="5"/>
      <c r="I123" s="4"/>
      <c r="N123" s="8"/>
      <c r="O123" s="9"/>
      <c r="P123" s="5"/>
      <c r="Q123" s="5"/>
      <c r="R123" s="8"/>
    </row>
    <row r="124" spans="4:18" x14ac:dyDescent="0.3">
      <c r="D124" s="5"/>
      <c r="I124" s="4"/>
      <c r="N124" s="8"/>
      <c r="O124" s="9"/>
      <c r="P124" s="5"/>
      <c r="Q124" s="5"/>
      <c r="R124" s="8"/>
    </row>
    <row r="125" spans="4:18" x14ac:dyDescent="0.3">
      <c r="D125" s="5"/>
      <c r="I125" s="4"/>
      <c r="N125" s="8"/>
      <c r="O125" s="9"/>
      <c r="P125" s="5"/>
      <c r="Q125" s="5"/>
      <c r="R125" s="8"/>
    </row>
    <row r="126" spans="4:18" x14ac:dyDescent="0.3">
      <c r="D126" s="5"/>
      <c r="I126" s="4"/>
      <c r="N126" s="8"/>
      <c r="O126" s="9"/>
      <c r="P126" s="5"/>
      <c r="Q126" s="5"/>
      <c r="R126" s="8"/>
    </row>
    <row r="127" spans="4:18" x14ac:dyDescent="0.3">
      <c r="D127" s="5"/>
      <c r="I127" s="4"/>
      <c r="N127" s="8"/>
      <c r="O127" s="9"/>
      <c r="P127" s="5"/>
      <c r="Q127" s="5"/>
      <c r="R127" s="8"/>
    </row>
  </sheetData>
  <conditionalFormatting sqref="O1:O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42D03-4C38-4005-83B8-EB8481208C53}">
  <dimension ref="A1:O17"/>
  <sheetViews>
    <sheetView showFormulas="1" workbookViewId="0">
      <selection activeCell="E19" sqref="E19"/>
    </sheetView>
  </sheetViews>
  <sheetFormatPr defaultRowHeight="14.4" x14ac:dyDescent="0.3"/>
  <cols>
    <col min="1" max="1" width="7.33203125" bestFit="1" customWidth="1"/>
    <col min="2" max="2" width="13.6640625" bestFit="1" customWidth="1"/>
    <col min="3" max="3" width="13.44140625" style="10" customWidth="1"/>
    <col min="4" max="4" width="9.6640625" customWidth="1"/>
    <col min="5" max="5" width="14" bestFit="1" customWidth="1"/>
    <col min="7" max="7" width="10.33203125" bestFit="1" customWidth="1"/>
  </cols>
  <sheetData>
    <row r="1" spans="1:15" x14ac:dyDescent="0.3">
      <c r="A1" s="1" t="s">
        <v>10</v>
      </c>
      <c r="B1" s="1" t="s">
        <v>43</v>
      </c>
      <c r="C1" s="1" t="s">
        <v>47</v>
      </c>
      <c r="D1" s="2" t="s">
        <v>48</v>
      </c>
      <c r="E1" s="7" t="s">
        <v>49</v>
      </c>
      <c r="F1" s="2" t="s">
        <v>4</v>
      </c>
      <c r="G1" s="2" t="s">
        <v>50</v>
      </c>
      <c r="H1" s="2"/>
      <c r="N1" s="2" t="s">
        <v>55</v>
      </c>
      <c r="O1" t="e">
        <f ca="1">SUM(G2:G15)</f>
        <v>#NAME?</v>
      </c>
    </row>
    <row r="2" spans="1:15" x14ac:dyDescent="0.3">
      <c r="A2" s="6" t="str">
        <f>portfolio!A2</f>
        <v>AMZN US 05/15/26 P195 Equity</v>
      </c>
      <c r="B2" t="str">
        <f>portfolio!B2</f>
        <v>Long Straddle</v>
      </c>
      <c r="C2" s="10">
        <v>46113</v>
      </c>
      <c r="D2" t="e" cm="1">
        <f t="array" aca="1" ref="D2" ca="1">_xll.BDH(A2,"PX_MID",C2,C2)</f>
        <v>#NAME?</v>
      </c>
      <c r="E2" s="6">
        <f>portfolio!J2</f>
        <v>100</v>
      </c>
      <c r="F2" t="e" cm="1">
        <f t="array" aca="1" ref="F2" ca="1">_xll.BDP($A2,F$1)</f>
        <v>#NAME?</v>
      </c>
      <c r="G2" t="e">
        <f ca="1">E2*(F2-D2)</f>
        <v>#NAME?</v>
      </c>
    </row>
    <row r="3" spans="1:15" x14ac:dyDescent="0.3">
      <c r="A3" s="6" t="str">
        <f>portfolio!A3</f>
        <v>AMZN US 05/15/26 C195 Equity</v>
      </c>
      <c r="B3" t="str">
        <f>portfolio!B3</f>
        <v>Long Straddle</v>
      </c>
      <c r="C3" s="10">
        <v>46113</v>
      </c>
      <c r="D3" t="e" cm="1">
        <f t="array" aca="1" ref="D3" ca="1">_xll.BDH(A3,"PX_MID",C3,C3)</f>
        <v>#NAME?</v>
      </c>
      <c r="E3" s="6">
        <f>portfolio!J3</f>
        <v>100</v>
      </c>
      <c r="F3" t="e" cm="1">
        <f t="array" aca="1" ref="F3" ca="1">_xll.BDP($A3,F$1)</f>
        <v>#NAME?</v>
      </c>
      <c r="G3" t="e">
        <f ca="1">E3*(F3-D3)</f>
        <v>#NAME?</v>
      </c>
    </row>
    <row r="4" spans="1:15" x14ac:dyDescent="0.3">
      <c r="A4" s="6" t="str">
        <f>portfolio!A4</f>
        <v>AVGO US 06/18/26 C230 Equity</v>
      </c>
      <c r="B4" t="str">
        <f>portfolio!B4</f>
        <v>Short Stradle</v>
      </c>
      <c r="C4" s="10">
        <v>46113</v>
      </c>
      <c r="D4" t="e" cm="1">
        <f t="array" aca="1" ref="D4" ca="1">_xll.BDH(A4,"PX_MID",C4,C4)</f>
        <v>#NAME?</v>
      </c>
      <c r="E4" s="6">
        <f>portfolio!J4</f>
        <v>-200</v>
      </c>
      <c r="F4" t="e" cm="1">
        <f t="array" aca="1" ref="F4" ca="1">_xll.BDP($A4,F$1)</f>
        <v>#NAME?</v>
      </c>
      <c r="G4" t="e">
        <f t="shared" ref="G4:G15" ca="1" si="0">E4*(F4-D4)</f>
        <v>#NAME?</v>
      </c>
    </row>
    <row r="5" spans="1:15" x14ac:dyDescent="0.3">
      <c r="A5" s="6" t="str">
        <f>portfolio!A5</f>
        <v>AVGO US 06/18/26 P230 Equity</v>
      </c>
      <c r="B5" t="str">
        <f>portfolio!B5</f>
        <v>Short Stradle</v>
      </c>
      <c r="C5" s="10">
        <v>46113</v>
      </c>
      <c r="D5" t="e" cm="1">
        <f t="array" aca="1" ref="D5" ca="1">_xll.BDH(A5,"PX_MID",C5,C5)</f>
        <v>#NAME?</v>
      </c>
      <c r="E5" s="6">
        <f>portfolio!J5</f>
        <v>-100</v>
      </c>
      <c r="F5" t="e" cm="1">
        <f t="array" aca="1" ref="F5" ca="1">_xll.BDP($A5,F$1)</f>
        <v>#NAME?</v>
      </c>
      <c r="G5" t="e">
        <f t="shared" ca="1" si="0"/>
        <v>#NAME?</v>
      </c>
    </row>
    <row r="6" spans="1:15" x14ac:dyDescent="0.3">
      <c r="A6" s="6" t="str">
        <f>portfolio!A6</f>
        <v>BAC US 12/18/26 P42 Equity</v>
      </c>
      <c r="B6" t="str">
        <f>portfolio!B6</f>
        <v xml:space="preserve">Long Strangle </v>
      </c>
      <c r="C6" s="10">
        <v>46113</v>
      </c>
      <c r="D6" t="e" cm="1">
        <f t="array" aca="1" ref="D6" ca="1">_xll.BDH(A6,"PX_MID",C6,C6)</f>
        <v>#NAME?</v>
      </c>
      <c r="E6" s="6">
        <f>portfolio!J6</f>
        <v>150</v>
      </c>
      <c r="F6" t="e" cm="1">
        <f t="array" aca="1" ref="F6" ca="1">_xll.BDP($A6,F$1)</f>
        <v>#NAME?</v>
      </c>
      <c r="G6" t="e">
        <f t="shared" ca="1" si="0"/>
        <v>#NAME?</v>
      </c>
    </row>
    <row r="7" spans="1:15" x14ac:dyDescent="0.3">
      <c r="A7" s="6" t="str">
        <f>portfolio!A7</f>
        <v>BAC US 12/18/26 C65 Equity</v>
      </c>
      <c r="B7" t="str">
        <f>portfolio!B7</f>
        <v xml:space="preserve">Long Strangle </v>
      </c>
      <c r="C7" s="10">
        <v>46113</v>
      </c>
      <c r="D7" t="e" cm="1">
        <f t="array" aca="1" ref="D7" ca="1">_xll.BDH(A7,"PX_MID",C7,C7)</f>
        <v>#NAME?</v>
      </c>
      <c r="E7" s="6">
        <f>portfolio!J7</f>
        <v>150</v>
      </c>
      <c r="F7" t="e" cm="1">
        <f t="array" aca="1" ref="F7" ca="1">_xll.BDP($A7,F$1)</f>
        <v>#NAME?</v>
      </c>
      <c r="G7" t="e">
        <f t="shared" ca="1" si="0"/>
        <v>#NAME?</v>
      </c>
    </row>
    <row r="8" spans="1:15" x14ac:dyDescent="0.3">
      <c r="A8" s="6" t="str">
        <f>portfolio!A8</f>
        <v>COF US 09/18/26 C300 Equity</v>
      </c>
      <c r="B8" t="str">
        <f>portfolio!B8</f>
        <v xml:space="preserve">Short Strangle </v>
      </c>
      <c r="C8" s="10">
        <v>46113</v>
      </c>
      <c r="D8" t="e" cm="1">
        <f t="array" aca="1" ref="D8" ca="1">_xll.BDH(A8,"PX_MID",C8,C8)</f>
        <v>#NAME?</v>
      </c>
      <c r="E8" s="6">
        <f>portfolio!J8</f>
        <v>-200</v>
      </c>
      <c r="F8" t="e" cm="1">
        <f t="array" aca="1" ref="F8" ca="1">_xll.BDP($A8,F$1)</f>
        <v>#NAME?</v>
      </c>
      <c r="G8" t="e">
        <f t="shared" ca="1" si="0"/>
        <v>#NAME?</v>
      </c>
    </row>
    <row r="9" spans="1:15" x14ac:dyDescent="0.3">
      <c r="A9" s="6" t="str">
        <f>portfolio!A9</f>
        <v>COF US 09/18/26 P190 Equity</v>
      </c>
      <c r="B9" t="str">
        <f>portfolio!B9</f>
        <v xml:space="preserve">Short Strangle </v>
      </c>
      <c r="C9" s="10">
        <v>46113</v>
      </c>
      <c r="D9" t="e" cm="1">
        <f t="array" aca="1" ref="D9" ca="1">_xll.BDH(A9,"PX_MID",C9,C9)</f>
        <v>#NAME?</v>
      </c>
      <c r="E9" s="6">
        <f>portfolio!J9</f>
        <v>-200</v>
      </c>
      <c r="F9" t="e" cm="1">
        <f t="array" aca="1" ref="F9" ca="1">_xll.BDP($A9,F$1)</f>
        <v>#NAME?</v>
      </c>
      <c r="G9" t="e">
        <f t="shared" ca="1" si="0"/>
        <v>#NAME?</v>
      </c>
    </row>
    <row r="10" spans="1:15" x14ac:dyDescent="0.3">
      <c r="A10" s="6" t="str">
        <f>portfolio!A10</f>
        <v>GOOGL US 06/18/26 P220 Equity</v>
      </c>
      <c r="B10" t="str">
        <f>portfolio!B10</f>
        <v>Long Butterfly</v>
      </c>
      <c r="C10" s="10">
        <v>46113</v>
      </c>
      <c r="D10" t="e" cm="1">
        <f t="array" aca="1" ref="D10" ca="1">_xll.BDH(A10,"PX_MID",C10,C10)</f>
        <v>#NAME?</v>
      </c>
      <c r="E10" s="6">
        <f>portfolio!J10</f>
        <v>100</v>
      </c>
      <c r="F10" t="e" cm="1">
        <f t="array" aca="1" ref="F10" ca="1">_xll.BDP($A10,F$1)</f>
        <v>#NAME?</v>
      </c>
      <c r="G10" t="e">
        <f t="shared" ca="1" si="0"/>
        <v>#NAME?</v>
      </c>
    </row>
    <row r="11" spans="1:15" x14ac:dyDescent="0.3">
      <c r="A11" s="6" t="str">
        <f>portfolio!A11</f>
        <v>GOOGL US 06/18/26 P275 Equity</v>
      </c>
      <c r="B11" t="str">
        <f>portfolio!B11</f>
        <v>Long Butterfly</v>
      </c>
      <c r="C11" s="10">
        <v>46113</v>
      </c>
      <c r="D11" t="e" cm="1">
        <f t="array" aca="1" ref="D11" ca="1">_xll.BDH(A11,"PX_MID",C11,C11)</f>
        <v>#NAME?</v>
      </c>
      <c r="E11" s="6">
        <f>portfolio!J11</f>
        <v>-200</v>
      </c>
      <c r="F11" t="e" cm="1">
        <f t="array" aca="1" ref="F11" ca="1">_xll.BDP($A11,F$1)</f>
        <v>#NAME?</v>
      </c>
      <c r="G11" t="e">
        <f t="shared" ca="1" si="0"/>
        <v>#NAME?</v>
      </c>
    </row>
    <row r="12" spans="1:15" x14ac:dyDescent="0.3">
      <c r="A12" s="6" t="str">
        <f>portfolio!A12</f>
        <v>GOOGL US 06/18/26 P290 Equity</v>
      </c>
      <c r="B12" t="str">
        <f>portfolio!B12</f>
        <v>Long Butterfly</v>
      </c>
      <c r="C12" s="10">
        <v>46113</v>
      </c>
      <c r="D12" t="e" cm="1">
        <f t="array" aca="1" ref="D12" ca="1">_xll.BDH(A12,"PX_MID",C12,C12)</f>
        <v>#NAME?</v>
      </c>
      <c r="E12" s="6">
        <f>portfolio!J12</f>
        <v>100</v>
      </c>
      <c r="F12" t="e" cm="1">
        <f t="array" aca="1" ref="F12" ca="1">_xll.BDP($A12,F$1)</f>
        <v>#NAME?</v>
      </c>
      <c r="G12" t="e">
        <f t="shared" ca="1" si="0"/>
        <v>#NAME?</v>
      </c>
    </row>
    <row r="13" spans="1:15" x14ac:dyDescent="0.3">
      <c r="A13" s="6" t="str">
        <f>portfolio!A13</f>
        <v>META US 06/18/26 C680 Equity</v>
      </c>
      <c r="B13" t="str">
        <f>portfolio!B13</f>
        <v>Short Butterfly</v>
      </c>
      <c r="C13" s="10">
        <v>46113</v>
      </c>
      <c r="D13" t="e" cm="1">
        <f t="array" aca="1" ref="D13" ca="1">_xll.BDH(A13,"PX_MID",C13,C13)</f>
        <v>#NAME?</v>
      </c>
      <c r="E13" s="6">
        <f>portfolio!J13</f>
        <v>-100</v>
      </c>
      <c r="F13" t="e" cm="1">
        <f t="array" aca="1" ref="F13" ca="1">_xll.BDP($A13,F$1)</f>
        <v>#NAME?</v>
      </c>
      <c r="G13" t="e">
        <f t="shared" ca="1" si="0"/>
        <v>#NAME?</v>
      </c>
    </row>
    <row r="14" spans="1:15" x14ac:dyDescent="0.3">
      <c r="A14" s="6" t="str">
        <f>portfolio!A14</f>
        <v>META US 06/18/26 C700 Equity</v>
      </c>
      <c r="B14" t="str">
        <f>portfolio!B14</f>
        <v>Short Butterfly</v>
      </c>
      <c r="C14" s="10">
        <v>46113</v>
      </c>
      <c r="D14" t="e" cm="1">
        <f t="array" aca="1" ref="D14" ca="1">_xll.BDH(A14,"PX_MID",C14,C14)</f>
        <v>#NAME?</v>
      </c>
      <c r="E14" s="6">
        <f>portfolio!J14</f>
        <v>200</v>
      </c>
      <c r="F14" t="e" cm="1">
        <f t="array" aca="1" ref="F14" ca="1">_xll.BDP($A14,F$1)</f>
        <v>#NAME?</v>
      </c>
      <c r="G14" t="e">
        <f t="shared" ca="1" si="0"/>
        <v>#NAME?</v>
      </c>
    </row>
    <row r="15" spans="1:15" x14ac:dyDescent="0.3">
      <c r="A15" s="6" t="str">
        <f>portfolio!A15</f>
        <v>META US 06/18/26 C720 Equity</v>
      </c>
      <c r="B15" t="str">
        <f>portfolio!B15</f>
        <v>Short Butterfly</v>
      </c>
      <c r="C15" s="10">
        <v>46113</v>
      </c>
      <c r="D15" t="e" cm="1">
        <f t="array" aca="1" ref="D15" ca="1">_xll.BDH(A15,"PX_MID",C15,C15)</f>
        <v>#NAME?</v>
      </c>
      <c r="E15" s="6">
        <f>portfolio!J15</f>
        <v>-100</v>
      </c>
      <c r="F15" t="e" cm="1">
        <f t="array" aca="1" ref="F15" ca="1">_xll.BDP($A15,F$1)</f>
        <v>#NAME?</v>
      </c>
      <c r="G15" t="e">
        <f t="shared" ca="1" si="0"/>
        <v>#NAME?</v>
      </c>
    </row>
    <row r="17" spans="2:2" x14ac:dyDescent="0.3">
      <c r="B17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A4ED1-79B2-47C1-BF54-BE41BF8B641F}">
  <dimension ref="A1:F15"/>
  <sheetViews>
    <sheetView showFormulas="1" workbookViewId="0">
      <selection activeCell="H13" sqref="H13"/>
    </sheetView>
  </sheetViews>
  <sheetFormatPr defaultRowHeight="14.4" x14ac:dyDescent="0.3"/>
  <cols>
    <col min="1" max="1" width="7.44140625" bestFit="1" customWidth="1"/>
    <col min="3" max="3" width="11.5546875" customWidth="1"/>
    <col min="4" max="4" width="9" bestFit="1" customWidth="1"/>
    <col min="5" max="5" width="11.109375" bestFit="1" customWidth="1"/>
  </cols>
  <sheetData>
    <row r="1" spans="1:6" x14ac:dyDescent="0.3">
      <c r="A1" s="7" t="s">
        <v>10</v>
      </c>
      <c r="B1" s="7" t="s">
        <v>23</v>
      </c>
      <c r="C1" s="11" t="s">
        <v>51</v>
      </c>
      <c r="D1" s="11" t="s">
        <v>52</v>
      </c>
      <c r="E1" s="11" t="s">
        <v>53</v>
      </c>
      <c r="F1" s="11" t="s">
        <v>54</v>
      </c>
    </row>
    <row r="2" spans="1:6" x14ac:dyDescent="0.3">
      <c r="A2" t="str">
        <f>portfolio!A2</f>
        <v>AMZN US 05/15/26 P195 Equity</v>
      </c>
      <c r="B2">
        <f>portfolio!J2</f>
        <v>100</v>
      </c>
      <c r="C2" s="5" t="e" cm="1">
        <f t="array" aca="1" ref="C2" ca="1">_xll.BDP($A2,C$1)*$B2</f>
        <v>#NAME?</v>
      </c>
      <c r="D2" s="5" t="e" cm="1">
        <f t="array" aca="1" ref="D2" ca="1">_xll.BDP($A2,D$1)*$B2</f>
        <v>#NAME?</v>
      </c>
      <c r="E2" s="5" t="e" cm="1">
        <f t="array" aca="1" ref="E2" ca="1">_xll.BDP($A2,E$1)*$B2</f>
        <v>#NAME?</v>
      </c>
      <c r="F2" s="5" t="e" cm="1">
        <f t="array" aca="1" ref="F2" ca="1">_xll.BDP($A2,F$1)*$B2</f>
        <v>#NAME?</v>
      </c>
    </row>
    <row r="3" spans="1:6" x14ac:dyDescent="0.3">
      <c r="A3" t="str">
        <f>portfolio!A3</f>
        <v>AMZN US 05/15/26 C195 Equity</v>
      </c>
      <c r="B3">
        <f>portfolio!J3</f>
        <v>100</v>
      </c>
      <c r="C3" s="5" t="e" cm="1">
        <f t="array" aca="1" ref="C3" ca="1">_xll.BDP($A3,C$1)*$B3</f>
        <v>#NAME?</v>
      </c>
      <c r="D3" s="5" t="e" cm="1">
        <f t="array" aca="1" ref="D3" ca="1">_xll.BDP($A3,D$1)*$B3</f>
        <v>#NAME?</v>
      </c>
      <c r="E3" s="5" t="e" cm="1">
        <f t="array" aca="1" ref="E3" ca="1">_xll.BDP($A3,E$1)*$B3</f>
        <v>#NAME?</v>
      </c>
      <c r="F3" s="5" t="e" cm="1">
        <f t="array" aca="1" ref="F3" ca="1">_xll.BDP($A3,F$1)*$B3</f>
        <v>#NAME?</v>
      </c>
    </row>
    <row r="4" spans="1:6" x14ac:dyDescent="0.3">
      <c r="A4" t="str">
        <f>portfolio!A4</f>
        <v>AVGO US 06/18/26 C230 Equity</v>
      </c>
      <c r="B4">
        <f>portfolio!J4</f>
        <v>-200</v>
      </c>
      <c r="C4" s="5" t="e" cm="1">
        <f t="array" aca="1" ref="C4" ca="1">_xll.BDP($A4,C$1)*$B4</f>
        <v>#NAME?</v>
      </c>
      <c r="D4" s="5" t="e" cm="1">
        <f t="array" aca="1" ref="D4" ca="1">_xll.BDP($A4,D$1)*$B4</f>
        <v>#NAME?</v>
      </c>
      <c r="E4" s="5" t="e" cm="1">
        <f t="array" aca="1" ref="E4" ca="1">_xll.BDP($A4,E$1)*$B4</f>
        <v>#NAME?</v>
      </c>
      <c r="F4" s="5" t="e" cm="1">
        <f t="array" aca="1" ref="F4" ca="1">_xll.BDP($A4,F$1)*$B4</f>
        <v>#NAME?</v>
      </c>
    </row>
    <row r="5" spans="1:6" x14ac:dyDescent="0.3">
      <c r="A5" t="str">
        <f>portfolio!A5</f>
        <v>AVGO US 06/18/26 P230 Equity</v>
      </c>
      <c r="B5">
        <f>portfolio!J5</f>
        <v>-100</v>
      </c>
      <c r="C5" s="5" t="e" cm="1">
        <f t="array" aca="1" ref="C5" ca="1">_xll.BDP($A5,C$1)*$B5</f>
        <v>#NAME?</v>
      </c>
      <c r="D5" s="5" t="e" cm="1">
        <f t="array" aca="1" ref="D5" ca="1">_xll.BDP($A5,D$1)*$B5</f>
        <v>#NAME?</v>
      </c>
      <c r="E5" s="5" t="e" cm="1">
        <f t="array" aca="1" ref="E5" ca="1">_xll.BDP($A5,E$1)*$B5</f>
        <v>#NAME?</v>
      </c>
      <c r="F5" s="5" t="e" cm="1">
        <f t="array" aca="1" ref="F5" ca="1">_xll.BDP($A5,F$1)*$B5</f>
        <v>#NAME?</v>
      </c>
    </row>
    <row r="6" spans="1:6" x14ac:dyDescent="0.3">
      <c r="A6" t="str">
        <f>portfolio!A6</f>
        <v>BAC US 12/18/26 P42 Equity</v>
      </c>
      <c r="B6">
        <f>portfolio!J6</f>
        <v>150</v>
      </c>
      <c r="C6" s="5" t="e" cm="1">
        <f t="array" aca="1" ref="C6" ca="1">_xll.BDP($A6,C$1)*$B6</f>
        <v>#NAME?</v>
      </c>
      <c r="D6" s="5" t="e" cm="1">
        <f t="array" aca="1" ref="D6" ca="1">_xll.BDP($A6,D$1)*$B6</f>
        <v>#NAME?</v>
      </c>
      <c r="E6" s="5" t="e" cm="1">
        <f t="array" aca="1" ref="E6" ca="1">_xll.BDP($A6,E$1)*$B6</f>
        <v>#NAME?</v>
      </c>
      <c r="F6" s="5" t="e" cm="1">
        <f t="array" aca="1" ref="F6" ca="1">_xll.BDP($A6,F$1)*$B6</f>
        <v>#NAME?</v>
      </c>
    </row>
    <row r="7" spans="1:6" x14ac:dyDescent="0.3">
      <c r="A7" t="str">
        <f>portfolio!A7</f>
        <v>BAC US 12/18/26 C65 Equity</v>
      </c>
      <c r="B7">
        <f>portfolio!J7</f>
        <v>150</v>
      </c>
      <c r="C7" s="5" t="e" cm="1">
        <f t="array" aca="1" ref="C7" ca="1">_xll.BDP($A7,C$1)*$B7</f>
        <v>#NAME?</v>
      </c>
      <c r="D7" s="5" t="e" cm="1">
        <f t="array" aca="1" ref="D7" ca="1">_xll.BDP($A7,D$1)*$B7</f>
        <v>#NAME?</v>
      </c>
      <c r="E7" s="5" t="e" cm="1">
        <f t="array" aca="1" ref="E7" ca="1">_xll.BDP($A7,E$1)*$B7</f>
        <v>#NAME?</v>
      </c>
      <c r="F7" s="5" t="e" cm="1">
        <f t="array" aca="1" ref="F7" ca="1">_xll.BDP($A7,F$1)*$B7</f>
        <v>#NAME?</v>
      </c>
    </row>
    <row r="8" spans="1:6" x14ac:dyDescent="0.3">
      <c r="A8" t="str">
        <f>portfolio!A8</f>
        <v>COF US 09/18/26 C300 Equity</v>
      </c>
      <c r="B8">
        <f>portfolio!J8</f>
        <v>-200</v>
      </c>
      <c r="C8" s="5" t="e" cm="1">
        <f t="array" aca="1" ref="C8" ca="1">_xll.BDP($A8,C$1)*$B8</f>
        <v>#NAME?</v>
      </c>
      <c r="D8" s="5" t="e" cm="1">
        <f t="array" aca="1" ref="D8" ca="1">_xll.BDP($A8,D$1)*$B8</f>
        <v>#NAME?</v>
      </c>
      <c r="E8" s="5" t="e" cm="1">
        <f t="array" aca="1" ref="E8" ca="1">_xll.BDP($A8,E$1)*$B8</f>
        <v>#NAME?</v>
      </c>
      <c r="F8" s="5" t="e" cm="1">
        <f t="array" aca="1" ref="F8" ca="1">_xll.BDP($A8,F$1)*$B8</f>
        <v>#NAME?</v>
      </c>
    </row>
    <row r="9" spans="1:6" x14ac:dyDescent="0.3">
      <c r="A9" t="str">
        <f>portfolio!A9</f>
        <v>COF US 09/18/26 P190 Equity</v>
      </c>
      <c r="B9">
        <f>portfolio!J9</f>
        <v>-200</v>
      </c>
      <c r="C9" s="5" t="e" cm="1">
        <f t="array" aca="1" ref="C9" ca="1">_xll.BDP($A9,C$1)*$B9</f>
        <v>#NAME?</v>
      </c>
      <c r="D9" s="5" t="e" cm="1">
        <f t="array" aca="1" ref="D9" ca="1">_xll.BDP($A9,D$1)*$B9</f>
        <v>#NAME?</v>
      </c>
      <c r="E9" s="5" t="e" cm="1">
        <f t="array" aca="1" ref="E9" ca="1">_xll.BDP($A9,E$1)*$B9</f>
        <v>#NAME?</v>
      </c>
      <c r="F9" s="5" t="e" cm="1">
        <f t="array" aca="1" ref="F9" ca="1">_xll.BDP($A9,F$1)*$B9</f>
        <v>#NAME?</v>
      </c>
    </row>
    <row r="10" spans="1:6" x14ac:dyDescent="0.3">
      <c r="A10" t="str">
        <f>portfolio!A10</f>
        <v>GOOGL US 06/18/26 P220 Equity</v>
      </c>
      <c r="B10">
        <f>portfolio!J10</f>
        <v>100</v>
      </c>
      <c r="C10" s="5" t="e" cm="1">
        <f t="array" aca="1" ref="C10" ca="1">_xll.BDP($A10,C$1)*$B10</f>
        <v>#NAME?</v>
      </c>
      <c r="D10" s="5" t="e" cm="1">
        <f t="array" aca="1" ref="D10" ca="1">_xll.BDP($A10,D$1)*$B10</f>
        <v>#NAME?</v>
      </c>
      <c r="E10" s="5" t="e" cm="1">
        <f t="array" aca="1" ref="E10" ca="1">_xll.BDP($A10,E$1)*$B10</f>
        <v>#NAME?</v>
      </c>
      <c r="F10" s="5" t="e" cm="1">
        <f t="array" aca="1" ref="F10" ca="1">_xll.BDP($A10,F$1)*$B10</f>
        <v>#NAME?</v>
      </c>
    </row>
    <row r="11" spans="1:6" x14ac:dyDescent="0.3">
      <c r="A11" t="str">
        <f>portfolio!A11</f>
        <v>GOOGL US 06/18/26 P275 Equity</v>
      </c>
      <c r="B11">
        <f>portfolio!J11</f>
        <v>-200</v>
      </c>
      <c r="C11" s="5" t="e" cm="1">
        <f t="array" aca="1" ref="C11" ca="1">_xll.BDP($A11,C$1)*$B11</f>
        <v>#NAME?</v>
      </c>
      <c r="D11" s="5" t="e" cm="1">
        <f t="array" aca="1" ref="D11" ca="1">_xll.BDP($A11,D$1)*$B11</f>
        <v>#NAME?</v>
      </c>
      <c r="E11" s="5" t="e" cm="1">
        <f t="array" aca="1" ref="E11" ca="1">_xll.BDP($A11,E$1)*$B11</f>
        <v>#NAME?</v>
      </c>
      <c r="F11" s="5" t="e" cm="1">
        <f t="array" aca="1" ref="F11" ca="1">_xll.BDP($A11,F$1)*$B11</f>
        <v>#NAME?</v>
      </c>
    </row>
    <row r="12" spans="1:6" x14ac:dyDescent="0.3">
      <c r="A12" t="str">
        <f>portfolio!A12</f>
        <v>GOOGL US 06/18/26 P290 Equity</v>
      </c>
      <c r="B12">
        <f>portfolio!J12</f>
        <v>100</v>
      </c>
      <c r="C12" s="5" t="e" cm="1">
        <f t="array" aca="1" ref="C12" ca="1">_xll.BDP($A12,C$1)*$B12</f>
        <v>#NAME?</v>
      </c>
      <c r="D12" s="5" t="e" cm="1">
        <f t="array" aca="1" ref="D12" ca="1">_xll.BDP($A12,D$1)*$B12</f>
        <v>#NAME?</v>
      </c>
      <c r="E12" s="5" t="e" cm="1">
        <f t="array" aca="1" ref="E12" ca="1">_xll.BDP($A12,E$1)*$B12</f>
        <v>#NAME?</v>
      </c>
      <c r="F12" s="5" t="e" cm="1">
        <f t="array" aca="1" ref="F12" ca="1">_xll.BDP($A12,F$1)*$B12</f>
        <v>#NAME?</v>
      </c>
    </row>
    <row r="13" spans="1:6" x14ac:dyDescent="0.3">
      <c r="A13" t="str">
        <f>portfolio!A13</f>
        <v>META US 06/18/26 C680 Equity</v>
      </c>
      <c r="B13">
        <f>portfolio!J13</f>
        <v>-100</v>
      </c>
      <c r="C13" s="5" t="e" cm="1">
        <f t="array" aca="1" ref="C13" ca="1">_xll.BDP($A13,C$1)*$B13</f>
        <v>#NAME?</v>
      </c>
      <c r="D13" s="5" t="e" cm="1">
        <f t="array" aca="1" ref="D13" ca="1">_xll.BDP($A13,D$1)*$B13</f>
        <v>#NAME?</v>
      </c>
      <c r="E13" s="5" t="e" cm="1">
        <f t="array" aca="1" ref="E13" ca="1">_xll.BDP($A13,E$1)*$B13</f>
        <v>#NAME?</v>
      </c>
      <c r="F13" s="5" t="e" cm="1">
        <f t="array" aca="1" ref="F13" ca="1">_xll.BDP($A13,F$1)*$B13</f>
        <v>#NAME?</v>
      </c>
    </row>
    <row r="14" spans="1:6" x14ac:dyDescent="0.3">
      <c r="A14" t="str">
        <f>portfolio!A14</f>
        <v>META US 06/18/26 C700 Equity</v>
      </c>
      <c r="B14">
        <f>portfolio!J14</f>
        <v>200</v>
      </c>
      <c r="C14" s="5" t="e" cm="1">
        <f t="array" aca="1" ref="C14" ca="1">_xll.BDP($A14,C$1)*$B14</f>
        <v>#NAME?</v>
      </c>
      <c r="D14" s="5" t="e" cm="1">
        <f t="array" aca="1" ref="D14" ca="1">_xll.BDP($A14,D$1)*$B14</f>
        <v>#NAME?</v>
      </c>
      <c r="E14" s="5" t="e" cm="1">
        <f t="array" aca="1" ref="E14" ca="1">_xll.BDP($A14,E$1)*$B14</f>
        <v>#NAME?</v>
      </c>
      <c r="F14" s="5" t="e" cm="1">
        <f t="array" aca="1" ref="F14" ca="1">_xll.BDP($A14,F$1)*$B14</f>
        <v>#NAME?</v>
      </c>
    </row>
    <row r="15" spans="1:6" x14ac:dyDescent="0.3">
      <c r="A15" t="str">
        <f>portfolio!A15</f>
        <v>META US 06/18/26 C720 Equity</v>
      </c>
      <c r="B15">
        <f>portfolio!J15</f>
        <v>-100</v>
      </c>
      <c r="C15" s="5" t="e" cm="1">
        <f t="array" aca="1" ref="C15" ca="1">_xll.BDP($A15,C$1)*$B15</f>
        <v>#NAME?</v>
      </c>
      <c r="D15" s="5" t="e" cm="1">
        <f t="array" aca="1" ref="D15" ca="1">_xll.BDP($A15,D$1)*$B15</f>
        <v>#NAME?</v>
      </c>
      <c r="E15" s="5" t="e" cm="1">
        <f t="array" aca="1" ref="E15" ca="1">_xll.BDP($A15,E$1)*$B15</f>
        <v>#NAME?</v>
      </c>
      <c r="F15" s="5" t="e" cm="1">
        <f t="array" aca="1" ref="F15" ca="1">_xll.BDP($A15,F$1)*$B15</f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</vt:lpstr>
      <vt:lpstr>portfolio</vt:lpstr>
      <vt:lpstr>PnL_Calc</vt:lpstr>
      <vt:lpstr>BBG_Greeks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Nguyen</dc:creator>
  <cp:lastModifiedBy>Dinh Duyen An Nguyen</cp:lastModifiedBy>
  <dcterms:created xsi:type="dcterms:W3CDTF">2026-03-17T08:14:53Z</dcterms:created>
  <dcterms:modified xsi:type="dcterms:W3CDTF">2026-04-10T09:17:25Z</dcterms:modified>
</cp:coreProperties>
</file>